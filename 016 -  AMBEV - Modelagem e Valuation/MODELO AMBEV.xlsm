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abc13fd71a4f481/Pictures/Desktop/"/>
    </mc:Choice>
  </mc:AlternateContent>
  <xr:revisionPtr revIDLastSave="147" documentId="8_{8BE48013-7E6C-45F0-AECF-AE49107AE404}" xr6:coauthVersionLast="47" xr6:coauthVersionMax="47" xr10:uidLastSave="{49220C0A-948E-4938-A390-DE5C89A395F8}"/>
  <bookViews>
    <workbookView xWindow="-108" yWindow="-108" windowWidth="23256" windowHeight="12456" tabRatio="845" xr2:uid="{00000000-000D-0000-FFFF-FFFF00000000}"/>
  </bookViews>
  <sheets>
    <sheet name="CAPA" sheetId="27" r:id="rId1"/>
    <sheet name="SUMÁRIO" sheetId="33" r:id="rId2"/>
    <sheet name="CENARIOS" sheetId="36" r:id="rId3"/>
    <sheet name="MODELO" sheetId="29" r:id="rId4"/>
    <sheet name="VALUATION" sheetId="31" r:id="rId5"/>
    <sheet name="DB" sheetId="35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?" hidden="1">{#N/A,#N/A,FALSE,"BBPREP"}</definedName>
    <definedName name="__?" hidden="1">{#N/A,#N/A,FALSE,"BBPREP"}</definedName>
    <definedName name="___?" hidden="1">{#N/A,#N/A,FALSE,"BBPREP"}</definedName>
    <definedName name="____?" hidden="1">{#N/A,#N/A,FALSE,"BBPREP"}</definedName>
    <definedName name="_____?" hidden="1">{#N/A,#N/A,FALSE,"BBPREP"}</definedName>
    <definedName name="______?" hidden="1">{#N/A,#N/A,FALSE,"BBPREP"}</definedName>
    <definedName name="_______?" hidden="1">{#N/A,#N/A,FALSE,"BBPREP"}</definedName>
    <definedName name="________?" hidden="1">{#N/A,#N/A,FALSE,"BBPREP"}</definedName>
    <definedName name="______________cd1" hidden="1">{"'cua 42'!$A$1:$O$40"}</definedName>
    <definedName name="__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__CED11" hidden="1">{"miles",#N/A,FALSE,"LUCROS E PERDAS (US$ 000)";"hl",#N/A,FALSE,"LUCROS E PERDAS (US$ 000)"}</definedName>
    <definedName name="______________CED112" hidden="1">{"miles",#N/A,FALSE,"LUCROS E PERDAS (US$ 000)";"hl",#N/A,FALSE,"LUCROS E PERDAS (US$ 000)"}</definedName>
    <definedName name="__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__imp2" hidden="1">{#N/A,#N/A,FALSE,"Hoja1";#N/A,#N/A,FALSE,"Hoja2"}</definedName>
    <definedName name="______________o1" hidden="1">{"det (May)",#N/A,FALSE,"June";"sum (MAY YTD)",#N/A,FALSE,"June YTD"}</definedName>
    <definedName name="_____________cd1" hidden="1">{"'cua 42'!$A$1:$O$40"}</definedName>
    <definedName name="_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_CED11" hidden="1">{"miles",#N/A,FALSE,"LUCROS E PERDAS (US$ 000)";"hl",#N/A,FALSE,"LUCROS E PERDAS (US$ 000)"}</definedName>
    <definedName name="_____________CED112" hidden="1">{"miles",#N/A,FALSE,"LUCROS E PERDAS (US$ 000)";"hl",#N/A,FALSE,"LUCROS E PERDAS (US$ 000)"}</definedName>
    <definedName name="_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_imp2" hidden="1">{#N/A,#N/A,FALSE,"Hoja1";#N/A,#N/A,FALSE,"Hoja2"}</definedName>
    <definedName name="_____________o1" hidden="1">{"det (May)",#N/A,FALSE,"June";"sum (MAY YTD)",#N/A,FALSE,"June YTD"}</definedName>
    <definedName name="____________cd1" hidden="1">{"'cua 42'!$A$1:$O$40"}</definedName>
    <definedName name="____________CED10" hidden="1">{"Prenissas",#N/A,FALSE,"Consolidado (3)";"Lucros000",#N/A,FALSE,"Consolidado (3)";"LucrosHL",#N/A,FALSE,"Consolidado (3)";"Balanco",#N/A,FALSE,"Consolidado (3)";"FluxoC",#N/A,FALSE,"Consolidado (3)"}</definedName>
    <definedName name="____________CED101" hidden="1">{"Prenissas",#N/A,FALSE,"Consolidado (3)";"Lucros000",#N/A,FALSE,"Consolidado (3)";"LucrosHL",#N/A,FALSE,"Consolidado (3)";"Balanco",#N/A,FALSE,"Consolidado (3)";"FluxoC",#N/A,FALSE,"Consolidado (3)"}</definedName>
    <definedName name="____________CED11" hidden="1">{"miles",#N/A,FALSE,"LUCROS E PERDAS (US$ 000)";"hl",#N/A,FALSE,"LUCROS E PERDAS (US$ 000)"}</definedName>
    <definedName name="____________CED112" hidden="1">{"miles",#N/A,FALSE,"LUCROS E PERDAS (US$ 000)";"hl",#N/A,FALSE,"LUCROS E PERDAS (US$ 000)"}</definedName>
    <definedName name="__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__imp2" hidden="1">{#N/A,#N/A,FALSE,"Hoja1";#N/A,#N/A,FALSE,"Hoja2"}</definedName>
    <definedName name="____________o1" hidden="1">{"det (May)",#N/A,FALSE,"June";"sum (MAY YTD)",#N/A,FALSE,"June YTD"}</definedName>
    <definedName name="___________CED10" hidden="1">{"Prenissas",#N/A,FALSE,"Consolidado (3)";"Lucros000",#N/A,FALSE,"Consolidado (3)";"LucrosHL",#N/A,FALSE,"Consolidado (3)";"Balanco",#N/A,FALSE,"Consolidado (3)";"FluxoC",#N/A,FALSE,"Consolidado (3)"}</definedName>
    <definedName name="___________CED101" hidden="1">{"Prenissas",#N/A,FALSE,"Consolidado (3)";"Lucros000",#N/A,FALSE,"Consolidado (3)";"LucrosHL",#N/A,FALSE,"Consolidado (3)";"Balanco",#N/A,FALSE,"Consolidado (3)";"FluxoC",#N/A,FALSE,"Consolidado (3)"}</definedName>
    <definedName name="___________CED11" hidden="1">{"miles",#N/A,FALSE,"LUCROS E PERDAS (US$ 000)";"hl",#N/A,FALSE,"LUCROS E PERDAS (US$ 000)"}</definedName>
    <definedName name="___________CED112" hidden="1">{"miles",#N/A,FALSE,"LUCROS E PERDAS (US$ 000)";"hl",#N/A,FALSE,"LUCROS E PERDAS (US$ 000)"}</definedName>
    <definedName name="___________imp2" hidden="1">{#N/A,#N/A,FALSE,"Hoja1";#N/A,#N/A,FALSE,"Hoja2"}</definedName>
    <definedName name="__________cd1" hidden="1">{"'cua 42'!$A$1:$O$40"}</definedName>
    <definedName name="__________CED10" hidden="1">{"Prenissas",#N/A,FALSE,"Consolidado (3)";"Lucros000",#N/A,FALSE,"Consolidado (3)";"LucrosHL",#N/A,FALSE,"Consolidado (3)";"Balanco",#N/A,FALSE,"Consolidado (3)";"FluxoC",#N/A,FALSE,"Consolidado (3)"}</definedName>
    <definedName name="__________CED101" hidden="1">{"Prenissas",#N/A,FALSE,"Consolidado (3)";"Lucros000",#N/A,FALSE,"Consolidado (3)";"LucrosHL",#N/A,FALSE,"Consolidado (3)";"Balanco",#N/A,FALSE,"Consolidado (3)";"FluxoC",#N/A,FALSE,"Consolidado (3)"}</definedName>
    <definedName name="__________CED11" hidden="1">{"miles",#N/A,FALSE,"LUCROS E PERDAS (US$ 000)";"hl",#N/A,FALSE,"LUCROS E PERDAS (US$ 000)"}</definedName>
    <definedName name="__________CED112" hidden="1">{"miles",#N/A,FALSE,"LUCROS E PERDAS (US$ 000)";"hl",#N/A,FALSE,"LUCROS E PERDAS (US$ 000)"}</definedName>
    <definedName name="_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__imp2" hidden="1">{#N/A,#N/A,FALSE,"Hoja1";#N/A,#N/A,FALSE,"Hoja2"}</definedName>
    <definedName name="__________o1" hidden="1">{"det (May)",#N/A,FALSE,"June";"sum (MAY YTD)",#N/A,FALSE,"June YTD"}</definedName>
    <definedName name="_________BL13131" hidden="1">{#N/A,#N/A,FALSE,"Hoja1";#N/A,#N/A,FALSE,"Hoja2"}</definedName>
    <definedName name="_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BL13131" hidden="1">{#N/A,#N/A,FALSE,"Hoja1";#N/A,#N/A,FALSE,"Hoja2"}</definedName>
    <definedName name="________cd1" hidden="1">{"'cua 42'!$A$1:$O$40"}</definedName>
    <definedName name="________CED10" hidden="1">{"Prenissas",#N/A,FALSE,"Consolidado (3)";"Lucros000",#N/A,FALSE,"Consolidado (3)";"LucrosHL",#N/A,FALSE,"Consolidado (3)";"Balanco",#N/A,FALSE,"Consolidado (3)";"FluxoC",#N/A,FALSE,"Consolidado (3)"}</definedName>
    <definedName name="________CED101" hidden="1">{"Prenissas",#N/A,FALSE,"Consolidado (3)";"Lucros000",#N/A,FALSE,"Consolidado (3)";"LucrosHL",#N/A,FALSE,"Consolidado (3)";"Balanco",#N/A,FALSE,"Consolidado (3)";"FluxoC",#N/A,FALSE,"Consolidado (3)"}</definedName>
    <definedName name="________CED11" hidden="1">{"miles",#N/A,FALSE,"LUCROS E PERDAS (US$ 000)";"hl",#N/A,FALSE,"LUCROS E PERDAS (US$ 000)"}</definedName>
    <definedName name="________CED112" hidden="1">{"miles",#N/A,FALSE,"LUCROS E PERDAS (US$ 000)";"hl",#N/A,FALSE,"LUCROS E PERDAS (US$ 000)"}</definedName>
    <definedName name="_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_imp2" hidden="1">{#N/A,#N/A,FALSE,"Hoja1";#N/A,#N/A,FALSE,"Hoja2"}</definedName>
    <definedName name="________o1" hidden="1">{"det (May)",#N/A,FALSE,"June";"sum (MAY YTD)",#N/A,FALSE,"June YTD"}</definedName>
    <definedName name="_______BL13131" hidden="1">{#N/A,#N/A,FALSE,"Hoja1";#N/A,#N/A,FALSE,"Hoja2"}</definedName>
    <definedName name="_______cd1" hidden="1">{"'cua 42'!$A$1:$O$40"}</definedName>
    <definedName name="_______CED10" hidden="1">{"Prenissas",#N/A,FALSE,"Consolidado (3)";"Lucros000",#N/A,FALSE,"Consolidado (3)";"LucrosHL",#N/A,FALSE,"Consolidado (3)";"Balanco",#N/A,FALSE,"Consolidado (3)";"FluxoC",#N/A,FALSE,"Consolidado (3)"}</definedName>
    <definedName name="_______CED101" hidden="1">{"Prenissas",#N/A,FALSE,"Consolidado (3)";"Lucros000",#N/A,FALSE,"Consolidado (3)";"LucrosHL",#N/A,FALSE,"Consolidado (3)";"Balanco",#N/A,FALSE,"Consolidado (3)";"FluxoC",#N/A,FALSE,"Consolidado (3)"}</definedName>
    <definedName name="_______CED11" hidden="1">{"miles",#N/A,FALSE,"LUCROS E PERDAS (US$ 000)";"hl",#N/A,FALSE,"LUCROS E PERDAS (US$ 000)"}</definedName>
    <definedName name="_______CED112" hidden="1">{"miles",#N/A,FALSE,"LUCROS E PERDAS (US$ 000)";"hl",#N/A,FALSE,"LUCROS E PERDAS (US$ 000)"}</definedName>
    <definedName name="_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_imp2" hidden="1">{#N/A,#N/A,FALSE,"Hoja1";#N/A,#N/A,FALSE,"Hoja2"}</definedName>
    <definedName name="_______o1" hidden="1">{"det (May)",#N/A,FALSE,"June";"sum (MAY YTD)",#N/A,FALSE,"June YTD"}</definedName>
    <definedName name="______BL13131" hidden="1">{#N/A,#N/A,FALSE,"Hoja1";#N/A,#N/A,FALSE,"Hoja2"}</definedName>
    <definedName name="______cd1" hidden="1">{"'cua 42'!$A$1:$O$40"}</definedName>
    <definedName name="______CED10" hidden="1">{"Prenissas",#N/A,FALSE,"Consolidado (3)";"Lucros000",#N/A,FALSE,"Consolidado (3)";"LucrosHL",#N/A,FALSE,"Consolidado (3)";"Balanco",#N/A,FALSE,"Consolidado (3)";"FluxoC",#N/A,FALSE,"Consolidado (3)"}</definedName>
    <definedName name="______CED101" hidden="1">{"Prenissas",#N/A,FALSE,"Consolidado (3)";"Lucros000",#N/A,FALSE,"Consolidado (3)";"LucrosHL",#N/A,FALSE,"Consolidado (3)";"Balanco",#N/A,FALSE,"Consolidado (3)";"FluxoC",#N/A,FALSE,"Consolidado (3)"}</definedName>
    <definedName name="______CED11" hidden="1">{"miles",#N/A,FALSE,"LUCROS E PERDAS (US$ 000)";"hl",#N/A,FALSE,"LUCROS E PERDAS (US$ 000)"}</definedName>
    <definedName name="______CED112" hidden="1">{"miles",#N/A,FALSE,"LUCROS E PERDAS (US$ 000)";"hl",#N/A,FALSE,"LUCROS E PERDAS (US$ 000)"}</definedName>
    <definedName name="__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__imp2" hidden="1">{#N/A,#N/A,FALSE,"Hoja1";#N/A,#N/A,FALSE,"Hoja2"}</definedName>
    <definedName name="______o1" hidden="1">{"det (May)",#N/A,FALSE,"June";"sum (MAY YTD)",#N/A,FALSE,"June YTD"}</definedName>
    <definedName name="_____BL13131" hidden="1">{#N/A,#N/A,FALSE,"Hoja1";#N/A,#N/A,FALSE,"Hoja2"}</definedName>
    <definedName name="_____CED10" hidden="1">{"Prenissas",#N/A,FALSE,"Consolidado (3)";"Lucros000",#N/A,FALSE,"Consolidado (3)";"LucrosHL",#N/A,FALSE,"Consolidado (3)";"Balanco",#N/A,FALSE,"Consolidado (3)";"FluxoC",#N/A,FALSE,"Consolidado (3)"}</definedName>
    <definedName name="_____CED101" hidden="1">{"Prenissas",#N/A,FALSE,"Consolidado (3)";"Lucros000",#N/A,FALSE,"Consolidado (3)";"LucrosHL",#N/A,FALSE,"Consolidado (3)";"Balanco",#N/A,FALSE,"Consolidado (3)";"FluxoC",#N/A,FALSE,"Consolidado (3)"}</definedName>
    <definedName name="_____CED11" hidden="1">{"miles",#N/A,FALSE,"LUCROS E PERDAS (US$ 000)";"hl",#N/A,FALSE,"LUCROS E PERDAS (US$ 000)"}</definedName>
    <definedName name="_____CED112" hidden="1">{"miles",#N/A,FALSE,"LUCROS E PERDAS (US$ 000)";"hl",#N/A,FALSE,"LUCROS E PERDAS (US$ 000)"}</definedName>
    <definedName name="_____imp2" hidden="1">{#N/A,#N/A,FALSE,"Hoja1";#N/A,#N/A,FALSE,"Hoja2"}</definedName>
    <definedName name="_____o1" hidden="1">{"det (May)",#N/A,FALSE,"June";"sum (MAY YTD)",#N/A,FALSE,"June YTD"}</definedName>
    <definedName name="____BL13131" hidden="1">{#N/A,#N/A,FALSE,"Hoja1";#N/A,#N/A,FALSE,"Hoja2"}</definedName>
    <definedName name="____cd1" hidden="1">{"'cua 42'!$A$1:$O$40"}</definedName>
    <definedName name="____CED10" hidden="1">{"Prenissas",#N/A,FALSE,"Consolidado (3)";"Lucros000",#N/A,FALSE,"Consolidado (3)";"LucrosHL",#N/A,FALSE,"Consolidado (3)";"Balanco",#N/A,FALSE,"Consolidado (3)";"FluxoC",#N/A,FALSE,"Consolidado (3)"}</definedName>
    <definedName name="____CED101" hidden="1">{"Prenissas",#N/A,FALSE,"Consolidado (3)";"Lucros000",#N/A,FALSE,"Consolidado (3)";"LucrosHL",#N/A,FALSE,"Consolidado (3)";"Balanco",#N/A,FALSE,"Consolidado (3)";"FluxoC",#N/A,FALSE,"Consolidado (3)"}</definedName>
    <definedName name="____CED11" hidden="1">{"miles",#N/A,FALSE,"LUCROS E PERDAS (US$ 000)";"hl",#N/A,FALSE,"LUCROS E PERDAS (US$ 000)"}</definedName>
    <definedName name="____CED112" hidden="1">{"miles",#N/A,FALSE,"LUCROS E PERDAS (US$ 000)";"hl",#N/A,FALSE,"LUCROS E PERDAS (US$ 000)"}</definedName>
    <definedName name="____ds13" hidden="1">{#N/A,#N/A,FALSE,"PRECIO FULL";#N/A,#N/A,FALSE,"LARA";#N/A,#N/A,FALSE,"CARACAS";#N/A,#N/A,FALSE,"DISBRACENTRO";#N/A,#N/A,FALSE,"ANDES";#N/A,#N/A,FALSE,"MAR CARIBE";#N/A,#N/A,FALSE,"RIO BEER";#N/A,#N/A,FALSE,"DISBRAH"}</definedName>
    <definedName name="____imp2" hidden="1">{#N/A,#N/A,FALSE,"Hoja1";#N/A,#N/A,FALSE,"Hoja2"}</definedName>
    <definedName name="____o1" hidden="1">{"det (May)",#N/A,FALSE,"June";"sum (MAY YTD)",#N/A,FALSE,"June YTD"}</definedName>
    <definedName name="___BL13131" hidden="1">{#N/A,#N/A,FALSE,"Hoja1";#N/A,#N/A,FALSE,"Hoja2"}</definedName>
    <definedName name="___cd1" hidden="1">{"'cua 42'!$A$1:$O$40"}</definedName>
    <definedName name="___CED10" hidden="1">{"Prenissas",#N/A,FALSE,"Consolidado (3)";"Lucros000",#N/A,FALSE,"Consolidado (3)";"LucrosHL",#N/A,FALSE,"Consolidado (3)";"Balanco",#N/A,FALSE,"Consolidado (3)";"FluxoC",#N/A,FALSE,"Consolidado (3)"}</definedName>
    <definedName name="___CED101" hidden="1">{"Prenissas",#N/A,FALSE,"Consolidado (3)";"Lucros000",#N/A,FALSE,"Consolidado (3)";"LucrosHL",#N/A,FALSE,"Consolidado (3)";"Balanco",#N/A,FALSE,"Consolidado (3)";"FluxoC",#N/A,FALSE,"Consolidado (3)"}</definedName>
    <definedName name="___CED11" hidden="1">{"miles",#N/A,FALSE,"LUCROS E PERDAS (US$ 000)";"hl",#N/A,FALSE,"LUCROS E PERDAS (US$ 000)"}</definedName>
    <definedName name="___CED112" hidden="1">{"miles",#N/A,FALSE,"LUCROS E PERDAS (US$ 000)";"hl",#N/A,FALSE,"LUCROS E PERDAS (US$ 000)"}</definedName>
    <definedName name="___ds13" hidden="1">{#N/A,#N/A,FALSE,"PRECIO FULL";#N/A,#N/A,FALSE,"LARA";#N/A,#N/A,FALSE,"CARACAS";#N/A,#N/A,FALSE,"DISBRACENTRO";#N/A,#N/A,FALSE,"ANDES";#N/A,#N/A,FALSE,"MAR CARIBE";#N/A,#N/A,FALSE,"RIO BEER";#N/A,#N/A,FALSE,"DISBRAH"}</definedName>
    <definedName name="___imp2" hidden="1">{#N/A,#N/A,FALSE,"Hoja1";#N/A,#N/A,FALSE,"Hoja2"}</definedName>
    <definedName name="___o1" hidden="1">{"det (May)",#N/A,FALSE,"June";"sum (MAY YTD)",#N/A,FALSE,"June YTD"}</definedName>
    <definedName name="__1111" hidden="1">#REF!</definedName>
    <definedName name="__123Graph_A" hidden="1">[1]은행!#REF!</definedName>
    <definedName name="__123Graph_ABKHORECA" hidden="1">#REF!</definedName>
    <definedName name="__123Graph_ACHOMAGE" hidden="1">#REF!</definedName>
    <definedName name="__123Graph_ACOMPARAT" hidden="1">#REF!</definedName>
    <definedName name="__123Graph_ACOMPARATACUM" hidden="1">#REF!</definedName>
    <definedName name="__123Graph_AGRAF1" hidden="1">'[2]RG Depots'!$C$43:$E$43</definedName>
    <definedName name="__123Graph_AGRAPH1" hidden="1">'[3]Données LMU'!$Z$6:$CH$6</definedName>
    <definedName name="__123Graph_AGRAPH2" hidden="1">'[3]Données LMU'!$Z$12:$CH$12</definedName>
    <definedName name="__123Graph_AGRAPH3" hidden="1">'[3]Données LMU'!$Z$18:$CH$18</definedName>
    <definedName name="__123Graph_AGRAPH4" hidden="1">'[3]Données LMU'!$Z$24:$CH$24</definedName>
    <definedName name="__123Graph_AGRAPH5" hidden="1">'[3]Données LMU'!$B$30:$BJ$30</definedName>
    <definedName name="__123Graph_AGRAPH6" hidden="1">'[3]Données LMU'!$B$41:$BJ$41</definedName>
    <definedName name="__123Graph_AGRAPH7" hidden="1">'[3]Données LMU'!$Z$47:$CH$47</definedName>
    <definedName name="__123Graph_AGRAPH8" hidden="1">'[3]Données LMU'!$Z$53:$CH$53</definedName>
    <definedName name="__123Graph_AGRAPH9" hidden="1">'[3]Données LMU'!$Z$59:$CH$59</definedName>
    <definedName name="__123Graph_AMARIO" hidden="1">#REF!</definedName>
    <definedName name="__123Graph_APRINCIPAL" hidden="1">#REF!</definedName>
    <definedName name="__123Graph_ATEST1" hidden="1">#REF!</definedName>
    <definedName name="__123Graph_ATEST2" hidden="1">#REF!</definedName>
    <definedName name="__123Graph_ATEST5" hidden="1">#REF!</definedName>
    <definedName name="__123Graph_AVENTAS" hidden="1">#REF!</definedName>
    <definedName name="__123Graph_B" hidden="1">[1]은행!#REF!</definedName>
    <definedName name="__123Graph_BBKHORECA" hidden="1">#REF!</definedName>
    <definedName name="__123Graph_BCHOMAGE" hidden="1">#REF!</definedName>
    <definedName name="__123Graph_BCOMPARAT" hidden="1">#REF!</definedName>
    <definedName name="__123Graph_BCOMPARATACUM" hidden="1">#REF!</definedName>
    <definedName name="__123Graph_BCurrent" hidden="1">#N/A</definedName>
    <definedName name="__123Graph_BGRAF1" hidden="1">'[2]RG Depots'!$C$44:$E$44</definedName>
    <definedName name="__123Graph_BGRAPH1" hidden="1">'[3]Données LMU'!$Z$7:$CH$7</definedName>
    <definedName name="__123Graph_BGRAPH2" hidden="1">'[3]Données LMU'!$Z$13:$CH$13</definedName>
    <definedName name="__123Graph_BGRAPH3" hidden="1">'[3]Données LMU'!$Z$19:$CH$19</definedName>
    <definedName name="__123Graph_BGRAPH4" hidden="1">'[3]Données LMU'!$Z$25:$CH$25</definedName>
    <definedName name="__123Graph_BGRAPH5" hidden="1">'[3]Données LMU'!$B$31:$BJ$31</definedName>
    <definedName name="__123Graph_BGRAPH6" hidden="1">'[3]Données LMU'!$B$42:$BJ$42</definedName>
    <definedName name="__123Graph_BGRAPH7" hidden="1">'[3]Données LMU'!$Z$48:$CH$48</definedName>
    <definedName name="__123Graph_BGRAPH8" hidden="1">'[3]Données LMU'!$Z$54:$CH$54</definedName>
    <definedName name="__123Graph_BGRAPH9" hidden="1">'[3]Données LMU'!$Z$60:$CH$60</definedName>
    <definedName name="__123Graph_BPRINCIPAL" hidden="1">#REF!</definedName>
    <definedName name="__123Graph_BPROFIT" hidden="1">#REF!</definedName>
    <definedName name="__123Graph_BTEST1" hidden="1">#REF!</definedName>
    <definedName name="__123Graph_BTEST2" hidden="1">#REF!</definedName>
    <definedName name="__123Graph_BTEST5" hidden="1">#REF!</definedName>
    <definedName name="__123Graph_BTURNOVER" hidden="1">#REF!</definedName>
    <definedName name="__123Graph_BVENTAS" hidden="1">#REF!</definedName>
    <definedName name="__123Graph_C" hidden="1">'[2]RG Depots'!$C$45:$E$45</definedName>
    <definedName name="__123Graph_CBKHORECA" hidden="1">#REF!</definedName>
    <definedName name="__123Graph_CCurrent" hidden="1">#N/A</definedName>
    <definedName name="__123Graph_CGRAF1" hidden="1">'[2]RG Depots'!$C$45:$E$45</definedName>
    <definedName name="__123Graph_CPROFIT" hidden="1">#REF!</definedName>
    <definedName name="__123Graph_CTEST1" hidden="1">#REF!</definedName>
    <definedName name="__123Graph_CTEST5" hidden="1">#REF!</definedName>
    <definedName name="__123Graph_CTURNOVER" hidden="1">#REF!</definedName>
    <definedName name="__123Graph_D" hidden="1">'[2]RG Depots'!$C$46:$E$46</definedName>
    <definedName name="__123Graph_DBKHORECA" hidden="1">#REF!</definedName>
    <definedName name="__123Graph_DCurrent" hidden="1">#N/A</definedName>
    <definedName name="__123Graph_DGRAF1" hidden="1">'[2]RG Depots'!$C$46:$E$46</definedName>
    <definedName name="__123Graph_DPROFIT" hidden="1">#REF!</definedName>
    <definedName name="__123Graph_DTEST1" hidden="1">#REF!</definedName>
    <definedName name="__123Graph_DTURNOVER" hidden="1">#REF!</definedName>
    <definedName name="__123Graph_E" hidden="1">'[2]RG Depots'!$C$48:$E$48</definedName>
    <definedName name="__123Graph_EGRAF1" hidden="1">'[2]RG Depots'!$C$48:$E$48</definedName>
    <definedName name="__123Graph_F" hidden="1">#N/A</definedName>
    <definedName name="__123Graph_LBL_A" hidden="1">#REF!</definedName>
    <definedName name="__123Graph_LBL_ABKHORECA" hidden="1">#REF!</definedName>
    <definedName name="__123Graph_LBL_ACHOMAGE" hidden="1">#REF!</definedName>
    <definedName name="__123Graph_LBL_ACOMPARAT" hidden="1">#REF!</definedName>
    <definedName name="__123Graph_LBL_ACOMPARATACUM" hidden="1">#REF!</definedName>
    <definedName name="__123Graph_LBL_APRINCIPAL" hidden="1">#REF!</definedName>
    <definedName name="__123Graph_LBL_ATEST1" hidden="1">#REF!</definedName>
    <definedName name="__123Graph_LBL_ATEST2" hidden="1">#REF!</definedName>
    <definedName name="__123Graph_LBL_ATEST5" hidden="1">#REF!</definedName>
    <definedName name="__123Graph_LBL_AVENTAS" hidden="1">#REF!</definedName>
    <definedName name="__123Graph_LBL_B" hidden="1">#REF!</definedName>
    <definedName name="__123Graph_LBL_BBKHORECA" hidden="1">#REF!</definedName>
    <definedName name="__123Graph_LBL_BCHOMAGE" hidden="1">#REF!</definedName>
    <definedName name="__123Graph_LBL_BCOMPARAT" hidden="1">#REF!</definedName>
    <definedName name="__123Graph_LBL_BCOMPARATACUM" hidden="1">#REF!</definedName>
    <definedName name="__123Graph_LBL_BGRAPH2" hidden="1">'[3]Données LMU'!$A$7:$A$7</definedName>
    <definedName name="__123Graph_LBL_BGRAPH3" hidden="1">'[3]Données LMU'!$A$7:$A$7</definedName>
    <definedName name="__123Graph_LBL_BGRAPH4" hidden="1">'[3]Données LMU'!$A$7:$A$7</definedName>
    <definedName name="__123Graph_LBL_BPRINCIPAL" hidden="1">#REF!</definedName>
    <definedName name="__123Graph_LBL_BTEST1" hidden="1">#REF!</definedName>
    <definedName name="__123Graph_LBL_BTEST2" hidden="1">#REF!</definedName>
    <definedName name="__123Graph_LBL_BTEST5" hidden="1">#REF!</definedName>
    <definedName name="__123Graph_LBL_BVENTAS" hidden="1">#REF!</definedName>
    <definedName name="__123Graph_LBL_C" hidden="1">#REF!</definedName>
    <definedName name="__123Graph_LBL_CBKHORECA" hidden="1">#REF!</definedName>
    <definedName name="__123Graph_LBL_CTEST1" hidden="1">#REF!</definedName>
    <definedName name="__123Graph_LBL_CTEST5" hidden="1">#REF!</definedName>
    <definedName name="__123Graph_LBL_D" hidden="1">#REF!</definedName>
    <definedName name="__123Graph_LBL_DBKHORECA" hidden="1">#REF!</definedName>
    <definedName name="__123Graph_LBL_DTEST1" hidden="1">#REF!</definedName>
    <definedName name="__123Graph_X" hidden="1">'[2]RG Depots'!$C$42:$E$42</definedName>
    <definedName name="__123Graph_XBKHORECA" hidden="1">#REF!</definedName>
    <definedName name="__123Graph_XCHOMAGE" hidden="1">#REF!</definedName>
    <definedName name="__123Graph_XCOMPARAT" hidden="1">#REF!</definedName>
    <definedName name="__123Graph_XCOMPARATACUM" hidden="1">#REF!</definedName>
    <definedName name="__123Graph_XGRAF1" hidden="1">'[2]RG Depots'!$C$42:$E$42</definedName>
    <definedName name="__123Graph_XGRAPH2" hidden="1">'[3]Données LMU'!$Z$2:$CH$2</definedName>
    <definedName name="__123Graph_XGRAPH3" hidden="1">'[3]Données LMU'!$Z$2:$CH$2</definedName>
    <definedName name="__123Graph_XGRAPH4" hidden="1">'[3]Données LMU'!$Z$2:$CH$2</definedName>
    <definedName name="__123Graph_XGRAPH5" hidden="1">'[3]Données LMU'!$B$2:$BJ$2</definedName>
    <definedName name="__123Graph_XGRAPH6" hidden="1">'[3]Données LMU'!$B$2:$BJ$2</definedName>
    <definedName name="__123Graph_XGRAPH7" hidden="1">'[3]Données LMU'!$Z$2:$CH$2</definedName>
    <definedName name="__123Graph_XGRAPH8" hidden="1">'[3]Données LMU'!$Z$2:$CH$2</definedName>
    <definedName name="__123Graph_XGRAPH9" hidden="1">'[3]Données LMU'!$Z$2:$CH$2</definedName>
    <definedName name="__123Graph_XPRINCIPAL" hidden="1">#REF!</definedName>
    <definedName name="__123Graph_XTEST1" hidden="1">#REF!</definedName>
    <definedName name="__123Graph_XTEST2" hidden="1">#REF!</definedName>
    <definedName name="__123Graph_XTEST5" hidden="1">#REF!</definedName>
    <definedName name="__123Graph_XVENTAS" hidden="1">#REF!</definedName>
    <definedName name="__BL13131" hidden="1">{#N/A,#N/A,FALSE,"Hoja1";#N/A,#N/A,FALSE,"Hoja2"}</definedName>
    <definedName name="__cd1" hidden="1">{"'cua 42'!$A$1:$O$40"}</definedName>
    <definedName name="__CED10" hidden="1">{"Prenissas",#N/A,FALSE,"Consolidado (3)";"Lucros000",#N/A,FALSE,"Consolidado (3)";"LucrosHL",#N/A,FALSE,"Consolidado (3)";"Balanco",#N/A,FALSE,"Consolidado (3)";"FluxoC",#N/A,FALSE,"Consolidado (3)"}</definedName>
    <definedName name="__CED101" hidden="1">{"Prenissas",#N/A,FALSE,"Consolidado (3)";"Lucros000",#N/A,FALSE,"Consolidado (3)";"LucrosHL",#N/A,FALSE,"Consolidado (3)";"Balanco",#N/A,FALSE,"Consolidado (3)";"FluxoC",#N/A,FALSE,"Consolidado (3)"}</definedName>
    <definedName name="__CED11" hidden="1">{"miles",#N/A,FALSE,"LUCROS E PERDAS (US$ 000)";"hl",#N/A,FALSE,"LUCROS E PERDAS (US$ 000)"}</definedName>
    <definedName name="__CED112" hidden="1">{"miles",#N/A,FALSE,"LUCROS E PERDAS (US$ 000)";"hl",#N/A,FALSE,"LUCROS E PERDAS (US$ 000)"}</definedName>
    <definedName name="__ds13" hidden="1">{#N/A,#N/A,FALSE,"PRECIO FULL";#N/A,#N/A,FALSE,"LARA";#N/A,#N/A,FALSE,"CARACAS";#N/A,#N/A,FALSE,"DISBRACENTRO";#N/A,#N/A,FALSE,"ANDES";#N/A,#N/A,FALSE,"MAR CARIBE";#N/A,#N/A,FALSE,"RIO BEER";#N/A,#N/A,FALSE,"DISBRAH"}</definedName>
    <definedName name="__FDS_HYPERLINK_TOGGLE_STATE__" hidden="1">"ON"</definedName>
    <definedName name="__I027611" hidden="1">{#N/A,#N/A,FALSE,"지침";#N/A,#N/A,FALSE,"환경분석";#N/A,#N/A,FALSE,"Sheet16"}</definedName>
    <definedName name="__imp2" hidden="1">{#N/A,#N/A,FALSE,"Hoja1";#N/A,#N/A,FALSE,"Hoja2"}</definedName>
    <definedName name="__IntlFixup" hidden="1">TRUE</definedName>
    <definedName name="__kja9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__o1" hidden="1">{"det (May)",#N/A,FALSE,"June";"sum (MAY YTD)",#N/A,FALSE,"June YTD"}</definedName>
    <definedName name="__P0376001" hidden="1">{#N/A,#N/A,FALSE,"지침";#N/A,#N/A,FALSE,"환경분석";#N/A,#N/A,FALSE,"Sheet16"}</definedName>
    <definedName name="__PY2001" hidden="1">{"'Hoja1'!$A$1:$K$32"}</definedName>
    <definedName name="__tk2" hidden="1">{#N/A,#N/A,FALSE,"지침";#N/A,#N/A,FALSE,"환경분석";#N/A,#N/A,FALSE,"Sheet16"}</definedName>
    <definedName name="__xlfn.BAHTTEXT" hidden="1">#NAME?</definedName>
    <definedName name="_002_Data_FooterType" hidden="1">"NONE"</definedName>
    <definedName name="_003_Data_FooterType" hidden="1">"INTERNAL"</definedName>
    <definedName name="_004_Data_FooterType" hidden="1">"NONE"</definedName>
    <definedName name="_005_Data_FooterType" hidden="1">"NONE"</definedName>
    <definedName name="_006_Data_FooterType" hidden="1">"NONE"</definedName>
    <definedName name="_1_?" hidden="1">{#N/A,#N/A,FALSE,"BBPREP"}</definedName>
    <definedName name="_12__123Graph_BCHART_111" hidden="1">[4]Menu!$D$24:$M$24</definedName>
    <definedName name="_123Graph_B" hidden="1">#REF!</definedName>
    <definedName name="_13__123Graph_BCHART_112" hidden="1">[4]Menu!$D$18:$M$18</definedName>
    <definedName name="_14__123Graph_BCHART_26" hidden="1">[4]Menu!$D$88:$M$88</definedName>
    <definedName name="_19__123Graph_CCHART_111" hidden="1">[4]Menu!$D$25:$M$25</definedName>
    <definedName name="_2__123Graph_ACHART_111" hidden="1">[4]Menu!$D$23:$M$23</definedName>
    <definedName name="_20__123Graph_CCHART_112" hidden="1">[4]Menu!$D$19:$M$19</definedName>
    <definedName name="_21__123Graph_CCHART_26" hidden="1">[4]Menu!$D$92:$M$92</definedName>
    <definedName name="_22__123Graph_CCHART_30" hidden="1">[4]Menu!$D$12:$M$12</definedName>
    <definedName name="_25__123Graph_DCHART_112" hidden="1">[4]Menu!$D$16:$M$16</definedName>
    <definedName name="_28__123Graph_XCHART_112" hidden="1">[4]Menu!$AF$15:$AO$15</definedName>
    <definedName name="_2o1_" hidden="1">{"det (May)",#N/A,FALSE,"June";"sum (MAY YTD)",#N/A,FALSE,"June YTD"}</definedName>
    <definedName name="_3__123Graph_ACHART_112" hidden="1">[4]Menu!$D$17:$M$17</definedName>
    <definedName name="_31__123Graph_XCHART_30" hidden="1">[4]Menu!$AF$15:$AO$15</definedName>
    <definedName name="_5__123Graph_ACHART_26" hidden="1">[4]Menu!$D$83:$M$83</definedName>
    <definedName name="_8__123Graph_ACHART_30" hidden="1">[4]Menu!$D$11:$M$11</definedName>
    <definedName name="_a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aa1" hidden="1">{"'input-data'!$B$5:$R$22"}</definedName>
    <definedName name="_BL13131" hidden="1">{#N/A,#N/A,FALSE,"Hoja1";#N/A,#N/A,FALSE,"Hoja2"}</definedName>
    <definedName name="_cd1" hidden="1">{"'cua 42'!$A$1:$O$40"}</definedName>
    <definedName name="_cd111" hidden="1">{"'cua 42'!$A$1:$O$40"}</definedName>
    <definedName name="_CED10" hidden="1">{"Prenissas",#N/A,FALSE,"Consolidado (3)";"Lucros000",#N/A,FALSE,"Consolidado (3)";"LucrosHL",#N/A,FALSE,"Consolidado (3)";"Balanco",#N/A,FALSE,"Consolidado (3)";"FluxoC",#N/A,FALSE,"Consolidado (3)"}</definedName>
    <definedName name="_CED101" hidden="1">{"Prenissas",#N/A,FALSE,"Consolidado (3)";"Lucros000",#N/A,FALSE,"Consolidado (3)";"LucrosHL",#N/A,FALSE,"Consolidado (3)";"Balanco",#N/A,FALSE,"Consolidado (3)";"FluxoC",#N/A,FALSE,"Consolidado (3)"}</definedName>
    <definedName name="_CED11" hidden="1">{"miles",#N/A,FALSE,"LUCROS E PERDAS (US$ 000)";"hl",#N/A,FALSE,"LUCROS E PERDAS (US$ 000)"}</definedName>
    <definedName name="_CED112" hidden="1">{"miles",#N/A,FALSE,"LUCROS E PERDAS (US$ 000)";"hl",#N/A,FALSE,"LUCROS E PERDAS (US$ 000)"}</definedName>
    <definedName name="_Dist_Bin" hidden="1">#REF!</definedName>
    <definedName name="_Dist_Values" hidden="1">#REF!</definedName>
    <definedName name="_ds13" hidden="1">{#N/A,#N/A,FALSE,"PRECIO FULL";#N/A,#N/A,FALSE,"LARA";#N/A,#N/A,FALSE,"CARACAS";#N/A,#N/A,FALSE,"DISBRACENTRO";#N/A,#N/A,FALSE,"ANDES";#N/A,#N/A,FALSE,"MAR CARIBE";#N/A,#N/A,FALSE,"RIO BEER";#N/A,#N/A,FALSE,"DISBRAH"}</definedName>
    <definedName name="_f2" hidden="1">{#N/A,#N/A,FALSE,"BEER";#N/A,#N/A,FALSE,"WEST"}</definedName>
    <definedName name="_Fill" hidden="1">#REF!</definedName>
    <definedName name="_I027611" hidden="1">{#N/A,#N/A,FALSE,"지침";#N/A,#N/A,FALSE,"환경분석";#N/A,#N/A,FALSE,"Sheet16"}</definedName>
    <definedName name="_imp2" hidden="1">{#N/A,#N/A,FALSE,"Hoja1";#N/A,#N/A,FALSE,"Hoja2"}</definedName>
    <definedName name="_Jim1" hidden="1">{#N/A,#N/A,FALSE,"L&amp;M Performance";#N/A,#N/A,FALSE,"Brand Performance";#N/A,#N/A,FALSE,"Marlboro Performance"}</definedName>
    <definedName name="_jim2" hidden="1">{#N/A,#N/A,FALSE,"L&amp;M Performance";#N/A,#N/A,FALSE,"Brand Performance";#N/A,#N/A,FALSE,"Marlboro Performance"}</definedName>
    <definedName name="_Key1" hidden="1">#REF!</definedName>
    <definedName name="_key11" hidden="1">#REF!</definedName>
    <definedName name="_Key2" hidden="1">#REF!</definedName>
    <definedName name="_key3" hidden="1">#REF!</definedName>
    <definedName name="_key5" hidden="1">#REF!</definedName>
    <definedName name="_key55" hidden="1">#REF!</definedName>
    <definedName name="_key66" hidden="1">#REF!</definedName>
    <definedName name="_key8" hidden="1">#REF!</definedName>
    <definedName name="_key9" hidden="1">#REF!</definedName>
    <definedName name="_kja9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_kry6" hidden="1">#REF!</definedName>
    <definedName name="_ky2" hidden="1">#REF!</definedName>
    <definedName name="_MatInverse_In" hidden="1">[5]Asfalto!$T$7:$U$8</definedName>
    <definedName name="_MatInverse_Out" hidden="1">[5]Asfalto!$T$10:$T$10</definedName>
    <definedName name="_MatMult_A" hidden="1">[5]Asfalto!$T$10:$U$11</definedName>
    <definedName name="_MatMult_AxB" hidden="1">[5]Asfalto!$V$7:$V$7</definedName>
    <definedName name="_MatMult_B" hidden="1">[5]Asfalto!$W$7:$W$8</definedName>
    <definedName name="_NBV2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_o1" hidden="1">{"det (May)",#N/A,FALSE,"June";"sum (MAY YTD)",#N/A,FALSE,"June YTD"}</definedName>
    <definedName name="_Order1" hidden="1">255</definedName>
    <definedName name="_Order2" hidden="1">255</definedName>
    <definedName name="_P03" hidden="1">{#N/A,#N/A,FALSE,"BEER";#N/A,#N/A,FALSE,"WEST"}</definedName>
    <definedName name="_P0376001" hidden="1">{#N/A,#N/A,FALSE,"지침";#N/A,#N/A,FALSE,"환경분석";#N/A,#N/A,FALSE,"Sheet16"}</definedName>
    <definedName name="_Parse_In" hidden="1">'[6]dep pre'!#REF!</definedName>
    <definedName name="_Parse_Out" hidden="1">'[6]dep pre'!#REF!</definedName>
    <definedName name="_pcSlicerSheet_Slicer1" hidden="1">#REF!</definedName>
    <definedName name="_pcSlicerSheet1_Slicer1" hidden="1">#REF!</definedName>
    <definedName name="_pcSlicerSheet2_Slicer1" hidden="1">#REF!</definedName>
    <definedName name="_pcSlicerSheet3_Slicer1" hidden="1">#REF!</definedName>
    <definedName name="_Published_Provincial_Sales_Volume_for_Actual_00" hidden="1">#N/A</definedName>
    <definedName name="_PY2001" hidden="1">{"'Hoja1'!$A$1:$K$32"}</definedName>
    <definedName name="_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Regression_Int" hidden="1">1</definedName>
    <definedName name="_sa1" hidden="1">{#N/A,#N/A,FALSE,"Assessment";#N/A,#N/A,FALSE,"Staffing";#N/A,#N/A,FALSE,"Hires";#N/A,#N/A,FALSE,"Assumptions"}</definedName>
    <definedName name="_SIV_REPRT_SRC_11" hidden="1">#REF!</definedName>
    <definedName name="_SIV_REPRT_SRC_12" hidden="1">#REF!</definedName>
    <definedName name="_SIV_REPRT_SRC_13" hidden="1">#REF!</definedName>
    <definedName name="_SIV_REPRT_SRC_14" hidden="1">#REF!</definedName>
    <definedName name="_SIV_REPRT_SRC_15" hidden="1">#REF!</definedName>
    <definedName name="_SIV_REPRT_SRC_16" hidden="1">#REF!</definedName>
    <definedName name="_SIV_REPRT_SRC_17" hidden="1">#REF!</definedName>
    <definedName name="_SIV_REPRT_SRC_18" hidden="1">#REF!</definedName>
    <definedName name="_SIV_REPRT_SRC_19" hidden="1">#REF!</definedName>
    <definedName name="_SIV_REPRT_SRC_2" hidden="1">#REF!</definedName>
    <definedName name="_SIV_REPRT_SRC_20" hidden="1">#REF!</definedName>
    <definedName name="_SIV_REPRT_SRC_28" hidden="1">#REF!</definedName>
    <definedName name="_SIV_REPRT_SRC_29" hidden="1">#REF!</definedName>
    <definedName name="_SIV_REPRT_SRC_3" hidden="1">#REF!</definedName>
    <definedName name="_SIV_REPRT_SRC_30" hidden="1">#REF!</definedName>
    <definedName name="_SIV_REPRT_SRC_31" hidden="1">#REF!</definedName>
    <definedName name="_SIV_REPRT_SRC_32" hidden="1">#REF!</definedName>
    <definedName name="_SIV_REPRT_SRC_33" hidden="1">#REF!</definedName>
    <definedName name="_SIV_REPRT_SRC_34" hidden="1">#REF!</definedName>
    <definedName name="_SIV_REPRT_SRC_35" hidden="1">#REF!</definedName>
    <definedName name="_SIV_REPRT_SRC_36" hidden="1">#REF!</definedName>
    <definedName name="_SIV_REPRT_SRC_37" hidden="1">#REF!</definedName>
    <definedName name="_SIV_REPRT_SRC_38" hidden="1">#REF!</definedName>
    <definedName name="_SIV_REPRT_SRC_39" hidden="1">#REF!</definedName>
    <definedName name="_SIV_REPRT_SRC_4" hidden="1">#REF!</definedName>
    <definedName name="_SIV_REPRT_SRC_5" hidden="1">#REF!</definedName>
    <definedName name="_SIV_REPRT_SRC_6" hidden="1">#REF!</definedName>
    <definedName name="_SIV_REPRT_SRC_7" hidden="1">#REF!</definedName>
    <definedName name="_Sort" hidden="1">#REF!</definedName>
    <definedName name="_sr200000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_t2" hidden="1">{#N/A,#N/A,FALSE,"Assessment";#N/A,#N/A,FALSE,"Staffing";#N/A,#N/A,FALSE,"Hires";#N/A,#N/A,FALSE,"Assumptions"}</definedName>
    <definedName name="_t3" hidden="1">{#N/A,#N/A,FALSE,"Assessment";#N/A,#N/A,FALSE,"Staffing";#N/A,#N/A,FALSE,"Hires";#N/A,#N/A,FALSE,"Assumptions"}</definedName>
    <definedName name="_t4" hidden="1">{#N/A,#N/A,FALSE,"Assessment";#N/A,#N/A,FALSE,"Staffing";#N/A,#N/A,FALSE,"Hires";#N/A,#N/A,FALSE,"Assumptions"}</definedName>
    <definedName name="_Table1_In1" hidden="1">#REF!</definedName>
    <definedName name="_Table1_Out" hidden="1">#REF!</definedName>
    <definedName name="_Table2_Out" hidden="1">#REF!</definedName>
    <definedName name="_tamas" hidden="1">#REF!</definedName>
    <definedName name="_tk2" hidden="1">{#N/A,#N/A,FALSE,"지침";#N/A,#N/A,FALSE,"환경분석";#N/A,#N/A,FALSE,"Sheet16"}</definedName>
    <definedName name="a" hidden="1">{#N/A,#N/A,FALSE,"Aging Summary";#N/A,#N/A,FALSE,"Ratio Analysis";#N/A,#N/A,FALSE,"Test 120 Day Accts";#N/A,#N/A,FALSE,"Tickmarks"}</definedName>
    <definedName name="A.???" hidden="1">{"det (May)",#N/A,FALSE,"June";"sum (MAY YTD)",#N/A,FALSE,"June YTD"}</definedName>
    <definedName name="A.Ⅱ.i2" hidden="1">{"det (May)",#N/A,FALSE,"June";"sum (MAY YTD)",#N/A,FALSE,"June YTD"}</definedName>
    <definedName name="A.I.2" hidden="1">{"det (May)",#N/A,FALSE,"June";"sum (MAY YTD)",#N/A,FALSE,"June YTD"}</definedName>
    <definedName name="A.I.AA" hidden="1">{"det (May)",#N/A,FALSE,"June";"sum (MAY YTD)",#N/A,FALSE,"June YTD"}</definedName>
    <definedName name="aa" hidden="1">{#N/A,#N/A,FALSE,"지침";#N/A,#N/A,FALSE,"환경분석";#N/A,#N/A,FALSE,"Sheet16"}</definedName>
    <definedName name="aaa" hidden="1">{#N/A,#N/A,FALSE,"Hoja1";#N/A,#N/A,FALSE,"Hoja2"}</definedName>
    <definedName name="AAA_DOCTOPS" hidden="1">"AAA_SET"</definedName>
    <definedName name="AAA_duser" hidden="1">"OFF"</definedName>
    <definedName name="aaaa" hidden="1">{"det (May)",#N/A,FALSE,"June";"sum (MAY YTD)",#N/A,FALSE,"June YTD"}</definedName>
    <definedName name="aaaaa" hidden="1">{"det (May)",#N/A,FALSE,"June";"sum (MAY YTD)",#N/A,FALSE,"June YTD"}</definedName>
    <definedName name="aaaaaaa" hidden="1">{"det (May)",#N/A,FALSE,"June";"sum (MAY YTD)",#N/A,FALSE,"June YTD"}</definedName>
    <definedName name="aaaaaaaa" hidden="1">{"CAP VOL",#N/A,FALSE,"CAPITAL";"CAP VAR",#N/A,FALSE,"CAPITAL";"CAP FIJ",#N/A,FALSE,"CAPITAL";"CAP CONS",#N/A,FALSE,"CAPITAL";"CAP DATA",#N/A,FALSE,"CAPITAL"}</definedName>
    <definedName name="aaaaaaaaaaaaa" hidden="1">#REF!</definedName>
    <definedName name="AAAAAAAAAAAAAAAAAAAAA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aaaaaaaaaaaaaaaaaaaaaaaaa" hidden="1">#REF!</definedName>
    <definedName name="aaaaaaaaaaaaaaaaaaaaaaaaaaaaaaaaaa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AB_Addin5" hidden="1">"AAB_Description for addin 5,Description for addin 5,Description for addin 5,Description for addin 5,Description for addin 5,Description for addin 5"</definedName>
    <definedName name="AASS" hidden="1">{"RESUMEN",#N/A,FALSE,"RESUMEN";"RESUMEN_MARG",#N/A,FALSE,"RESUMEN"}</definedName>
    <definedName name="ab" hidden="1">{"'cua 42'!$A$1:$O$40"}</definedName>
    <definedName name="ab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bc" hidden="1">{"det (May)",#N/A,FALSE,"June";"sum (MAY YTD)",#N/A,FALSE,"June YTD"}</definedName>
    <definedName name="abcd" hidden="1">{#N/A,#N/A,FALSE,"BEER";#N/A,#N/A,FALSE,"WEST"}</definedName>
    <definedName name="ABRIL" hidden="1">{"CAP VOL",#N/A,FALSE,"CAPITAL";"CAP VAR",#N/A,FALSE,"CAPITAL";"CAP FIJ",#N/A,FALSE,"CAPITAL";"CAP CONS",#N/A,FALSE,"CAPITAL";"CAP DATA",#N/A,FALSE,"CAPITAL"}</definedName>
    <definedName name="ACA" hidden="1">{#N/A,#N/A,FALSE,"ROTINA";#N/A,#N/A,FALSE,"ITENS";#N/A,#N/A,FALSE,"ACOMP"}</definedName>
    <definedName name="Access_Button" hidden="1">"X98BUWHSE_Sheet1_List"</definedName>
    <definedName name="Access_Button1" hidden="1">"ABI1998"</definedName>
    <definedName name="AccessDatabase" hidden="1">"G:\BUDGET\DATA\WHSE\98BUWHSE.MDB"</definedName>
    <definedName name="AccessOpt" hidden="1">"Yes"</definedName>
    <definedName name="ACwvu.steve." hidden="1">#REF!</definedName>
    <definedName name="adc" hidden="1">{"det (May)",#N/A,FALSE,"June";"sum (MAY YTD)",#N/A,FALSE,"June YTD"}</definedName>
    <definedName name="Additional_Information_FooterType" hidden="1">"EXTERNAL"</definedName>
    <definedName name="adf" hidden="1">{#N/A,#N/A,FALSE,"지침";#N/A,#N/A,FALSE,"환경분석";#N/A,#N/A,FALSE,"Sheet16"}</definedName>
    <definedName name="adsf" hidden="1">{"'input-data'!$B$5:$R$22"}</definedName>
    <definedName name="adsfadfsdfa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aeerf" hidden="1">{"det (May)",#N/A,FALSE,"June";"sum (MAY YTD)",#N/A,FALSE,"June YTD"}</definedName>
    <definedName name="afc" hidden="1">{"det (May)",#N/A,FALSE,"June";"sum (MAY YTD)",#N/A,FALSE,"June YTD"}</definedName>
    <definedName name="affff" hidden="1">{"'cua 42'!$A$1:$O$40"}</definedName>
    <definedName name="ag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gsdfg" hidden="1">{#N/A,#N/A,FALSE,"Summary"}</definedName>
    <definedName name="AIAA" hidden="1">{"det (May)",#N/A,FALSE,"June";"sum (MAY YTD)",#N/A,FALSE,"June YTD"}</definedName>
    <definedName name="ajulio" hidden="1">{"'Hoja1'!$A$1:$K$32"}</definedName>
    <definedName name="alcira" hidden="1">{"Cons_Occ_Lar",#N/A,FALSE,"márgenes";"Cen_met",#N/A,FALSE,"márgenes";"Ori_pl",#N/A,FALSE,"márgenes"}</definedName>
    <definedName name="alk" hidden="1">{#N/A,#N/A,FALSE,"Hoja1";#N/A,#N/A,FALSE,"Hoja2"}</definedName>
    <definedName name="alt" hidden="1">{"det (May)",#N/A,FALSE,"June";"sum (MAY YTD)",#N/A,FALSE,"June YTD"}</definedName>
    <definedName name="anly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ANNA" hidden="1">{"det (May)",#N/A,FALSE,"June";"sum (MAY YTD)",#N/A,FALSE,"June YTD"}</definedName>
    <definedName name="anscount" hidden="1">1</definedName>
    <definedName name="AOCTUBRE" hidden="1">{"'Hoja1'!$A$1:$K$32"}</definedName>
    <definedName name="app" hidden="1">{#N/A,#N/A,FALSE,"1997 P&amp;L(pk) (Atlanta)";#N/A,#N/A,FALSE,"ONGOING P&amp;L(PK)(Atlanta)"}</definedName>
    <definedName name="aqaq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aqzs" hidden="1">{"det (May)",#N/A,FALSE,"June";"sum (MAY YTD)",#N/A,FALSE,"June YTD"}</definedName>
    <definedName name="AS" hidden="1">{"'input-data'!$B$5:$R$22"}</definedName>
    <definedName name="AS2DocOpenMode" hidden="1">"AS2DocumentEdit"</definedName>
    <definedName name="AS2NamedRange" hidden="1">8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adsfda" hidden="1">{#N/A,#N/A,FALSE,"Aging Summary";#N/A,#N/A,FALSE,"Ratio Analysis";#N/A,#N/A,FALSE,"Test 120 Day Accts";#N/A,#N/A,FALSE,"Tickmarks"}</definedName>
    <definedName name="asadsfds" hidden="1">{#N/A,#N/A,FALSE,"Aging Summary";#N/A,#N/A,FALSE,"Ratio Analysis";#N/A,#N/A,FALSE,"Test 120 Day Accts";#N/A,#N/A,FALSE,"Tickmarks"}</definedName>
    <definedName name="ASAS" hidden="1">{"RESUMEN",#N/A,FALSE,"RESUMEN";"RESUMEN_MARG",#N/A,FALSE,"RESUMEN"}</definedName>
    <definedName name="asd" hidden="1">{#N/A,#N/A,FALSE,"FIN AÑO"}</definedName>
    <definedName name="asda" hidden="1">{"Real",#N/A,FALSE,"CONSOLIDADO";"Real",#N/A,FALSE,"OCCIDENTE";"Real",#N/A,FALSE,"LARA";"Real",#N/A,FALSE,"CENTRO";"Real",#N/A,FALSE,"METROPOLITANA";"Real",#N/A,FALSE,"ORIENTE";"Real",#N/A,FALSE,"Pto.libre"}</definedName>
    <definedName name="asdasda" hidden="1">{"prem1",#N/A,FALSE,"Consolidado";"pl_us",#N/A,FALSE,"Consolidado";"pl_hl",#N/A,FALSE,"Consolidado";"bs",#N/A,FALSE,"Consolidado";"cf",#N/A,FALSE,"Consolidado"}</definedName>
    <definedName name="asdcasdcasd" hidden="1">{"REPORT100",#N/A,FALSE,"100 &amp; 110"}</definedName>
    <definedName name="asddddddddd" hidden="1">{#N/A,#N/A,FALSE,"L&amp;M Performance";#N/A,#N/A,FALSE,"Brand Performance";#N/A,#N/A,FALSE,"Marlboro Performance"}</definedName>
    <definedName name="ASDE" hidden="1">{#N/A,#N/A,FALSE,"FIN AÑO"}</definedName>
    <definedName name="asdf" hidden="1">{"det (May)",#N/A,FALSE,"June";"sum (MAY YTD)",#N/A,FALSE,"June YTD"}</definedName>
    <definedName name="asdfasdf" hidden="1">{#N/A,#N/A,FALSE,"1997 P&amp;L(pk) (Atlanta)";#N/A,#N/A,FALSE,"ONGOING P&amp;L(PK)(Atlanta)"}</definedName>
    <definedName name="asdfasdfasdf" hidden="1">{#N/A,#N/A,FALSE,"L&amp;M Performance";#N/A,#N/A,FALSE,"Brand Performance";#N/A,#N/A,FALSE,"Marlboro Performance"}</definedName>
    <definedName name="asdfasg" hidden="1">{"det (May)",#N/A,FALSE,"June";"sum (MAY YTD)",#N/A,FALSE,"June YTD"}</definedName>
    <definedName name="asdfg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sd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dg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ASDQASD" hidden="1">{#N/A,#N/A,FALSE,"Aging Summary";#N/A,#N/A,FALSE,"Ratio Analysis";#N/A,#N/A,FALSE,"Test 120 Day Accts";#N/A,#N/A,FALSE,"Tickmarks"}</definedName>
    <definedName name="asdqw" hidden="1">{"CAP VOL",#N/A,FALSE,"CAPITAL";"CAP VAR",#N/A,FALSE,"CAPITAL";"CAP FIJ",#N/A,FALSE,"CAPITAL";"CAP CONS",#N/A,FALSE,"CAPITAL";"CAP DATA",#N/A,FALSE,"CAPITAL"}</definedName>
    <definedName name="asfd" hidden="1">{#N/A,#N/A,FALSE,"Aging Summary";#N/A,#N/A,FALSE,"Ratio Analysis";#N/A,#N/A,FALSE,"Test 120 Day Accts";#N/A,#N/A,FALSE,"Tickmarks"}</definedName>
    <definedName name="asfdfd" hidden="1">{#N/A,#N/A,FALSE,"Aging Summary";#N/A,#N/A,FALSE,"Ratio Analysis";#N/A,#N/A,FALSE,"Test 120 Day Accts";#N/A,#N/A,FALSE,"Tickmarks"}</definedName>
    <definedName name="asñl" hidden="1">{#N/A,#N/A,FALSE,"RGD$";#N/A,#N/A,FALSE,"BG$";#N/A,#N/A,FALSE,"FC$"}</definedName>
    <definedName name="ass" hidden="1">{#N/A,#N/A,FALSE,"Hoja1";#N/A,#N/A,FALSE,"Hoja2"}</definedName>
    <definedName name="ASSSS" hidden="1">{#N/A,#N/A,FALSE,"PRECIO FULL";#N/A,#N/A,FALSE,"LARA";#N/A,#N/A,FALSE,"CARACAS";#N/A,#N/A,FALSE,"DISBRACENTRO";#N/A,#N/A,FALSE,"ANDES";#N/A,#N/A,FALSE,"MAR CARIBE";#N/A,#N/A,FALSE,"RIO BEER";#N/A,#N/A,FALSE,"DISBRAH"}</definedName>
    <definedName name="Assump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sump1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asx" hidden="1">{"Prenissas",#N/A,FALSE,"Consolidado (3)";"Lucros000",#N/A,FALSE,"Consolidado (3)";"LucrosHL",#N/A,FALSE,"Consolidado (3)";"Balanco",#N/A,FALSE,"Consolidado (3)";"FluxoC",#N/A,FALSE,"Consolidado (3)"}</definedName>
    <definedName name="aszz" hidden="1">{"det (May)",#N/A,FALSE,"June";"sum (MAY YTD)",#N/A,FALSE,"June YTD"}</definedName>
    <definedName name="Ata" hidden="1">{#N/A,#N/A,FALSE,"ROTINA";#N/A,#N/A,FALSE,"ITENS";#N/A,#N/A,FALSE,"ACOMP"}</definedName>
    <definedName name="ATAA" hidden="1">{#N/A,#N/A,FALSE,"ROTINA";#N/A,#N/A,FALSE,"ITENS";#N/A,#N/A,FALSE,"ACOMP"}</definedName>
    <definedName name="awe" hidden="1">{"total",#N/A,FALSE,"TOTAL $";"totalhl",#N/A,FALSE,"TOTAL $HL";"vol",#N/A,FALSE,"VOLUMEN";"xprod1",#N/A,FALSE,"X PROD";"xprod2",#N/A,FALSE,"X PROD";"finaño1",#N/A,FALSE,"FIN AÑO Meta";"finaño2",#N/A,FALSE,"FIN AÑO Meta"}</definedName>
    <definedName name="AWER" hidden="1">{"total",#N/A,FALSE,"TOTAL $";"totalhl",#N/A,FALSE,"TOTAL $HL";"vol",#N/A,FALSE,"VOLUMEN";"xprod1",#N/A,FALSE,"X PROD";"xprod2",#N/A,FALSE,"X PROD";"finaño1",#N/A,FALSE,"FIN AÑO Meta";"finaño2",#N/A,FALSE,"FIN AÑO Meta"}</definedName>
    <definedName name="AZ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azedsd" hidden="1">{"det (May)",#N/A,FALSE,"June";"sum (MAY YTD)",#N/A,FALSE,"June YTD"}</definedName>
    <definedName name="azert" hidden="1">{#N/A,#N/A,FALSE,"BBPREP"}</definedName>
    <definedName name="azerty" hidden="1">{#N/A,#N/A,FALSE,"BBPREP"}</definedName>
    <definedName name="B" hidden="1">{#N/A,#N/A,FALSE,"Aging Summary";#N/A,#N/A,FALSE,"Ratio Analysis";#N/A,#N/A,FALSE,"Test 120 Day Accts";#N/A,#N/A,FALSE,"Tickmarks"}</definedName>
    <definedName name="B.IV.r" hidden="1">{"det (May)",#N/A,FALSE,"June";"sum (MAY YTD)",#N/A,FALSE,"June YTD"}</definedName>
    <definedName name="B.IV.r.SBC" hidden="1">{"det (May)",#N/A,FALSE,"June";"sum (MAY YTD)",#N/A,FALSE,"June YTD"}</definedName>
    <definedName name="baa" hidden="1">{#N/A,#N/A,FALSE,"BEER";#N/A,#N/A,FALSE,"WEST"}</definedName>
    <definedName name="bab" hidden="1">{#N/A,#N/A,FALSE,"ROTINA";#N/A,#N/A,FALSE,"ITENS";#N/A,#N/A,FALSE,"ACOMP"}</definedName>
    <definedName name="babab" hidden="1">{#N/A,#N/A,FALSE,"Hoja1";#N/A,#N/A,FALSE,"Hoja2"}</definedName>
    <definedName name="bababab" hidden="1">{#N/A,#N/A,FALSE,"Aging Summary";#N/A,#N/A,FALSE,"Ratio Analysis";#N/A,#N/A,FALSE,"Test 120 Day Accts";#N/A,#N/A,FALSE,"Tickmarks"}</definedName>
    <definedName name="BABABB" hidden="1">{#N/A,#N/A,FALSE,"Hoja1";#N/A,#N/A,FALSE,"Hoja2"}</definedName>
    <definedName name="babb" hidden="1">{"total",#N/A,FALSE,"TOTAL $";"totalhl",#N/A,FALSE,"TOTAL $HL";"vol",#N/A,FALSE,"VOLUMEN";"xprod1",#N/A,FALSE,"X PROD";"xprod2",#N/A,FALSE,"X PROD";"finaño1",#N/A,FALSE,"FIN AÑO Meta";"finaño2",#N/A,FALSE,"FIN AÑO Meta"}</definedName>
    <definedName name="bb" hidden="1">{#N/A,#N/A,FALSE,"지침";#N/A,#N/A,FALSE,"환경분석";#N/A,#N/A,FALSE,"Sheet16"}</definedName>
    <definedName name="bbb" hidden="1">{#N/A,#N/A,FALSE,"지침";#N/A,#N/A,FALSE,"환경분석";#N/A,#N/A,FALSE,"Sheet16"}</definedName>
    <definedName name="bbbb" hidden="1">{#N/A,#N/A,FALSE,"ROTINA";#N/A,#N/A,FALSE,"ITENS";#N/A,#N/A,FALSE,"ACOMP"}</definedName>
    <definedName name="bbbbb" hidden="1">{"det (May)",#N/A,FALSE,"June";"sum (MAY YTD)",#N/A,FALSE,"June YTD"}</definedName>
    <definedName name="bbbbbbbbbbbbbbb" hidden="1">{"det (May)",#N/A,FALSE,"June";"sum (MAY YTD)",#N/A,FALSE,"June YTD"}</definedName>
    <definedName name="bbbbnn" hidden="1">{"det (May)",#N/A,FALSE,"June";"sum (MAY YTD)",#N/A,FALSE,"June YTD"}</definedName>
    <definedName name="bbbbvfdbghgdf" hidden="1">{"det (May)",#N/A,FALSE,"June";"sum (MAY YTD)",#N/A,FALSE,"June YTD"}</definedName>
    <definedName name="bbbi" hidden="1">{#N/A,#N/A,FALSE,"Aging Summary";#N/A,#N/A,FALSE,"Ratio Analysis";#N/A,#N/A,FALSE,"Test 120 Day Accts";#N/A,#N/A,FALSE,"Tickmarks"}</definedName>
    <definedName name="bbibb" hidden="1">{"det (May)",#N/A,FALSE,"June";"sum (MAY YTD)",#N/A,FALSE,"June YTD"}</definedName>
    <definedName name="bcbcbcbcb" hidden="1">#REF!</definedName>
    <definedName name="BelgiumByEntity_FooterType" hidden="1">"EXTERNAL"</definedName>
    <definedName name="bernardo" hidden="1">#REF!</definedName>
    <definedName name="BG_Del" hidden="1">15</definedName>
    <definedName name="BG_Ins" hidden="1">4</definedName>
    <definedName name="BG_Mod" hidden="1">6</definedName>
    <definedName name="bgggggbbbbbbbbbb" hidden="1">{"det (May)",#N/A,FALSE,"June";"sum (MAY YTD)",#N/A,FALSE,"June YTD"}</definedName>
    <definedName name="bgggggggggggggggggggg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bhu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Billing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blb" hidden="1">{"det (May)",#N/A,FALSE,"June";"sum (MAY YTD)",#N/A,FALSE,"June YTD"}</definedName>
    <definedName name="BLPH1" hidden="1">'[7]Brazil Sovereign'!#REF!</definedName>
    <definedName name="BLPH10" hidden="1">#N/A</definedName>
    <definedName name="BLPH100" hidden="1">[8]BLP!$I$5</definedName>
    <definedName name="BLPH101" hidden="1">[8]BLP!$G$5</definedName>
    <definedName name="BLPH102" hidden="1">[8]BLP!$E$5</definedName>
    <definedName name="BLPH103" hidden="1">[8]BLP!$C$5</definedName>
    <definedName name="BLPH104" hidden="1">[8]BLP!$A$5</definedName>
    <definedName name="BLPH107" hidden="1">'[9]Dados BLP'!#REF!</definedName>
    <definedName name="BLPH11" hidden="1">#N/A</definedName>
    <definedName name="BLPH12" hidden="1">#N/A</definedName>
    <definedName name="BLPH13" hidden="1">#N/A</definedName>
    <definedName name="BLPH14" hidden="1">#N/A</definedName>
    <definedName name="BLPH15" hidden="1">#N/A</definedName>
    <definedName name="BLPH16" hidden="1">#N/A</definedName>
    <definedName name="BLPH17" hidden="1">#N/A</definedName>
    <definedName name="BLPH18" hidden="1">#N/A</definedName>
    <definedName name="BLPH19" hidden="1">[10]COTAÇÕES!$A$4</definedName>
    <definedName name="BLPH2" hidden="1">#REF!</definedName>
    <definedName name="BLPH20" hidden="1">[10]COTAÇÕES!$C$4</definedName>
    <definedName name="BLPH21" hidden="1">[10]COTAÇÕES!#REF!</definedName>
    <definedName name="BLPH22" hidden="1">[10]COTAÇÕES!#REF!</definedName>
    <definedName name="BLPH3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8" hidden="1">#REF!</definedName>
    <definedName name="BLPH9" hidden="1">#N/A</definedName>
    <definedName name="BLPH96" hidden="1">[8]BLP!$Q$5</definedName>
    <definedName name="BLPH97" hidden="1">[8]BLP!$O$5</definedName>
    <definedName name="BLPH98" hidden="1">[8]BLP!$M$5</definedName>
    <definedName name="BLPH99" hidden="1">[8]BLP!$K$5</definedName>
    <definedName name="BLPI1" hidden="1">[11]Diario!$A$3</definedName>
    <definedName name="BLPI2" hidden="1">[11]Diario!$C$3</definedName>
    <definedName name="bnb" hidden="1">{#N/A,#N/A,FALSE,"Hoja1";#N/A,#N/A,FALSE,"Hoja2"}</definedName>
    <definedName name="bnjbj" hidden="1">{"det (May)",#N/A,FALSE,"June";"sum (MAY YTD)",#N/A,FALSE,"June YTD"}</definedName>
    <definedName name="BoliviaByEntity_FooterType" hidden="1">"EXTERNAL"</definedName>
    <definedName name="book" hidden="1">{"det (May)",#N/A,FALSE,"June";"sum (MAY YTD)",#N/A,FALSE,"June YTD"}</definedName>
    <definedName name="brasil" hidden="1">{#N/A,#N/A,FALSE,"ROTINA";#N/A,#N/A,FALSE,"ITENS";#N/A,#N/A,FALSE,"ACOMP"}</definedName>
    <definedName name="BrazilByEntity_FooterType" hidden="1">"EXTERNAL"</definedName>
    <definedName name="bs" hidden="1">{#N/A,#N/A,FALSE,"BBPREP"}</definedName>
    <definedName name="bsd" hidden="1">{"det (May)",#N/A,FALSE,"June";"sum (MAY YTD)",#N/A,FALSE,"June YTD"}</definedName>
    <definedName name="budcapex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Budget_FooterType" hidden="1">"NONE"</definedName>
    <definedName name="BV_Agenda" hidden="1">{"'171'!$A$1:$Z$50"}</definedName>
    <definedName name="bvbn" hidden="1">{"det (May)",#N/A,FALSE,"June";"sum (MAY YTD)",#N/A,FALSE,"June YTD"}</definedName>
    <definedName name="bvbv" hidden="1">{"prem1",#N/A,FALSE,"Consolidado";"pl_us",#N/A,FALSE,"Consolidado";"pl_hl",#N/A,FALSE,"Consolidado";"bs",#N/A,FALSE,"Consolidado";"cf",#N/A,FALSE,"Consolidado"}</definedName>
    <definedName name="bvbvbv" hidden="1">{#N/A,"Carabeer",FALSE,"Dscto.";#N/A,"Disbracentro",FALSE,"Dscto.";#N/A,"Río Beer",FALSE,"Dscto.";#N/A,"Andes",FALSE,"Dscto."}</definedName>
    <definedName name="bvbvgfhg" hidden="1">{"prem1",#N/A,FALSE,"Consolidado";"pl_us",#N/A,FALSE,"Consolidado";"pl_hl",#N/A,FALSE,"Consolidado";"bs",#N/A,FALSE,"Consolidado";"cf",#N/A,FALSE,"Consolidado"}</definedName>
    <definedName name="bvcbcbf" hidden="1">{"miles",#N/A,FALSE,"LUCROS E PERDAS (US$ 000)";"hl",#N/A,FALSE,"LUCROS E PERDAS (US$ 000)"}</definedName>
    <definedName name="bvd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bvgffgdqget" hidden="1">{"det (May)",#N/A,FALSE,"June";"sum (MAY YTD)",#N/A,FALSE,"June YTD"}</definedName>
    <definedName name="bvhfhgff" hidden="1">{#N/A,#N/A,FALSE,"Hoja1";#N/A,#N/A,FALSE,"Hoja2"}</definedName>
    <definedName name="bvnbvnv" hidden="1">{"prem1",#N/A,FALSE,"Consolidado";"pl_us",#N/A,FALSE,"Consolidado";"pl_hl",#N/A,FALSE,"Consolidado";"bs",#N/A,FALSE,"Consolidado";"cf",#N/A,FALSE,"Consolidado"}</definedName>
    <definedName name="bxbcbcv" hidden="1">{"Prenissas",#N/A,FALSE,"Consolidado (3)";"Lucros000",#N/A,FALSE,"Consolidado (3)";"LucrosHL",#N/A,FALSE,"Consolidado (3)";"Balanco",#N/A,FALSE,"Consolidado (3)";"FluxoC",#N/A,FALSE,"Consolidado (3)"}</definedName>
    <definedName name="bxcghgj" hidden="1">{"det (May)",#N/A,FALSE,"June";"sum (MAY YTD)",#N/A,FALSE,"June YTD"}</definedName>
    <definedName name="caas" hidden="1">{"bs",#N/A,FALSE,"Consolidado";"cf",#N/A,FALSE,"Consolidado";"pl_hl",#N/A,FALSE,"Consolidado";"pl_us",#N/A,FALSE,"Consolidado";"Prem1",#N/A,FALSE,"Consolidado"}</definedName>
    <definedName name="CAASS" hidden="1">{"bs",#N/A,FALSE,"Consolidado";"cf",#N/A,FALSE,"Consolidado";"pl_hl",#N/A,FALSE,"Consolidado";"pl_us",#N/A,FALSE,"Consolidado";"Prem1",#N/A,FALSE,"Consolidado"}</definedName>
    <definedName name="cacca" hidden="1">{"RESUMEN",#N/A,FALSE,"RESUMEN";"RESUMEN_MARG",#N/A,FALSE,"RESUMEN"}</definedName>
    <definedName name="cacca1" hidden="1">{"RESUMEN",#N/A,FALSE,"RESUMEN";"RESUMEN_MARG",#N/A,FALSE,"RESUMEN"}</definedName>
    <definedName name="Calculation_FooterType" hidden="1">"INTERNAL"</definedName>
    <definedName name="Canada_ByEntity_FooterType" hidden="1">"EXTERNAL"</definedName>
    <definedName name="CAPEX98" hidden="1">[12]FINALPHP!$G$27</definedName>
    <definedName name="CAPTURA2" hidden="1">{"'171'!$A$1:$Z$50"}</definedName>
    <definedName name="CARLOS" hidden="1">{#N/A,#N/A,FALSE,"Hoja1";#N/A,#N/A,FALSE,"Hoja2"}</definedName>
    <definedName name="CASA" hidden="1">{"'Resumen US$'!$A$104:$B$104"}</definedName>
    <definedName name="CASSSS" hidden="1">{"bs",#N/A,FALSE,"Consolidado";"cf",#N/A,FALSE,"Consolidado";"pl_hl",#N/A,FALSE,"Consolidado";"pl_us",#N/A,FALSE,"Consolidado";"Prem1",#N/A,FALSE,"Consolidado"}</definedName>
    <definedName name="cbvdf" hidden="1">{"det (May)",#N/A,FALSE,"June";"sum (MAY YTD)",#N/A,FALSE,"June YTD"}</definedName>
    <definedName name="cc" hidden="1">{"'cua 42'!$A$1:$O$40"}</definedName>
    <definedName name="cccc" hidden="1">{"det (May)",#N/A,FALSE,"June";"sum (MAY YTD)",#N/A,FALSE,"June YTD"}</definedName>
    <definedName name="cccccc" hidden="1">{"det (May)",#N/A,FALSE,"June";"sum (MAY YTD)",#N/A,FALSE,"June YTD"}</definedName>
    <definedName name="ççççççççççççççççççççççççççççççççççççç" hidden="1">{#N/A,#N/A,FALSE,"TOTAL"}</definedName>
    <definedName name="CCHHE" hidden="1">{#N/A,#N/A,FALSE,"Aging Summary";#N/A,#N/A,FALSE,"Ratio Analysis";#N/A,#N/A,FALSE,"Test 120 Day Accts";#N/A,#N/A,FALSE,"Tickmarks"}</definedName>
    <definedName name="cchj" hidden="1">{#N/A,#N/A,FALSE,"Aging Summary";#N/A,#N/A,FALSE,"Ratio Analysis";#N/A,#N/A,FALSE,"Test 120 Day Accts";#N/A,#N/A,FALSE,"Tickmarks"}</definedName>
    <definedName name="ccvbnj" hidden="1">{"det (May)",#N/A,FALSE,"June";"sum (MAY YTD)",#N/A,FALSE,"June YTD"}</definedName>
    <definedName name="ccvvbn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ccvvxcvvcv" hidden="1">{"det (May)",#N/A,FALSE,"June";"sum (MAY YTD)",#N/A,FALSE,"June YTD"}</definedName>
    <definedName name="cd" hidden="1">{"CAP VOL",#N/A,FALSE,"CAPITAL";"CAP VAR",#N/A,FALSE,"CAPITAL";"CAP FIJ",#N/A,FALSE,"CAPITAL";"CAP CONS",#N/A,FALSE,"CAPITAL";"CAP DATA",#N/A,FALSE,"CAPITAL"}</definedName>
    <definedName name="cdfx" hidden="1">{"det (May)",#N/A,FALSE,"June";"sum (MAY YTD)",#N/A,FALSE,"June YTD"}</definedName>
    <definedName name="cdxx" hidden="1">{"det (May)",#N/A,FALSE,"June";"sum (MAY YTD)",#N/A,FALSE,"June YTD"}</definedName>
    <definedName name="cf" hidden="1">{#N/A,#N/A,FALSE,"TOTAL"}</definedName>
    <definedName name="Channel" hidden="1">{"det (May)",#N/A,FALSE,"June";"sum (MAY YTD)",#N/A,FALSE,"June YTD"}</definedName>
    <definedName name="CIQWBGuid" hidden="1">"Zone Overview Templates.xls"</definedName>
    <definedName name="clara" hidden="1">{#N/A,#N/A,FALSE,"TOTAL"}</definedName>
    <definedName name="cnhhj" hidden="1">{"det (May)",#N/A,FALSE,"June";"sum (MAY YTD)",#N/A,FALSE,"June YTD"}</definedName>
    <definedName name="CO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ColumnHeadingSpec_FooterType" hidden="1">"NONE"</definedName>
    <definedName name="com" hidden="1">{#N/A,#N/A,FALSE,"BBPREP"}</definedName>
    <definedName name="Comm" hidden="1">{"miles",#N/A,FALSE,"LUCROS E PERDAS (US$ 000)";"hl",#N/A,FALSE,"LUCROS E PERDAS (US$ 000)"}</definedName>
    <definedName name="Commentary1" hidden="1">{#N/A,#N/A,FALSE,"BBPREP"}</definedName>
    <definedName name="Company___plan_data_FooterType" hidden="1">"NONE"</definedName>
    <definedName name="complassump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complassumption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complpo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Contents_FooterType" hidden="1">"EXTERNAL"</definedName>
    <definedName name="Costo" hidden="1">{#N/A,#N/A,FALSE,"PRODMAL";#N/A,#N/A,FALSE,"DESPMAL";#N/A,#N/A,FALSE,"DESPCLIE";#N/A,#N/A,FALSE,"STOCKMAL";#N/A,#N/A,FALSE,"RENDCOS";#N/A,#N/A,FALSE,"RENDMES";#N/A,#N/A,FALSE,"GAS";#N/A,#N/A,FALSE,"STOCKCEB";#N/A,#N/A,FALSE,"ENERGIA";#N/A,#N/A,FALSE,"AGUA";#N/A,#N/A,FALSE,"PRODUCT."}</definedName>
    <definedName name="coun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ry_data_FooterType" hidden="1">"NONE"</definedName>
    <definedName name="Ctrol_indicadores" hidden="1">{"'Dotacio 1'!$A$1:$AN$101"}</definedName>
    <definedName name="cucaç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CUCU" hidden="1">{#N/A,#N/A,FALSE,"Aging Summary";#N/A,#N/A,FALSE,"Ratio Analysis";#N/A,#N/A,FALSE,"Test 120 Day Accts";#N/A,#N/A,FALSE,"Tickmarks"}</definedName>
    <definedName name="CURVA2" hidden="1">{"'171'!$A$1:$Z$50"}</definedName>
    <definedName name="cvbbnhj" hidden="1">{"det (May)",#N/A,FALSE,"June";"sum (MAY YTD)",#N/A,FALSE,"June YTD"}</definedName>
    <definedName name="cvbhgf" hidden="1">{"CAP VOL",#N/A,FALSE,"CAPITAL";"CAP VAR",#N/A,FALSE,"CAPITAL";"CAP FIJ",#N/A,FALSE,"CAPITAL";"CAP CONS",#N/A,FALSE,"CAPITAL";"CAP DATA",#N/A,FALSE,"CAPITAL"}</definedName>
    <definedName name="cvcvcvcv" hidden="1">{"det (May)",#N/A,FALSE,"June";"sum (MAY YTD)",#N/A,FALSE,"June YTD"}</definedName>
    <definedName name="cvghgfhdgfhddf" hidden="1">{"det (May)",#N/A,FALSE,"June";"sum (MAY YTD)",#N/A,FALSE,"June YTD"}</definedName>
    <definedName name="cvvg" hidden="1">{"det (May)",#N/A,FALSE,"June";"sum (MAY YTD)",#N/A,FALSE,"June YTD"}</definedName>
    <definedName name="cxcx" hidden="1">{"CAP VOL",#N/A,FALSE,"CAPITAL";"CAP VAR",#N/A,FALSE,"CAPITAL";"CAP FIJ",#N/A,FALSE,"CAPITAL";"CAP CONS",#N/A,FALSE,"CAPITAL";"CAP DATA",#N/A,FALSE,"CAPITAL"}</definedName>
    <definedName name="D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126757F_8C22_4332_AE16_6A56D0626CD4_tinplate_Chart_2_ChartType" hidden="1">64</definedName>
    <definedName name="D126757F_8C22_4332_AE16_6A56D0626CD4_tinplate_Chart_2_distributionSingle" hidden="1">FALSE</definedName>
    <definedName name="D126757F_8C22_4332_AE16_6A56D0626CD4_tinplate_Chart_2_HorAxisGridlines" hidden="1">FALSE</definedName>
    <definedName name="D126757F_8C22_4332_AE16_6A56D0626CD4_tinplate_Chart_2_VerAxisGridlines" hidden="1">FALSE</definedName>
    <definedName name="DAAS" hidden="1">{"bs",#N/A,FALSE,"Consolidado";"cf",#N/A,FALSE,"Consolidado";"pl_hl",#N/A,FALSE,"Consolidado";"pl_us",#N/A,FALSE,"Consolidado";"Prem1",#N/A,FALSE,"Consolidado"}</definedName>
    <definedName name="dasasd" hidden="1">{#N/A,#N/A,FALSE,"Hoja1";#N/A,#N/A,FALSE,"Hoja2"}</definedName>
    <definedName name="dasasdads" hidden="1">{#N/A,#N/A,FALSE,"Hoja1";#N/A,#N/A,FALSE,"Hoja2"}</definedName>
    <definedName name="DD" hidden="1">{#N/A,#N/A,FALSE,"지침";#N/A,#N/A,FALSE,"환경분석";#N/A,#N/A,FALSE,"Sheet16"}</definedName>
    <definedName name="DDD" hidden="1">{#N/A,#N/A,FALSE,"지침";#N/A,#N/A,FALSE,"환경분석";#N/A,#N/A,FALSE,"Sheet16"}</definedName>
    <definedName name="DDDDDDDD" hidden="1">{"CAP VOL",#N/A,FALSE,"CAPITAL";"CAP VAR",#N/A,FALSE,"CAPITAL";"CAP FIJ",#N/A,FALSE,"CAPITAL";"CAP CONS",#N/A,FALSE,"CAPITAL";"CAP DATA",#N/A,FALSE,"CAPITAL"}</definedName>
    <definedName name="dddddddddddd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dddfff" hidden="1">{"det (May)",#N/A,FALSE,"June";"sum (MAY YTD)",#N/A,FALSE,"June YTD"}</definedName>
    <definedName name="DDDSSS" hidden="1">{"RESUMEN",#N/A,FALSE,"RESUMEN";"RESUMEN_MARG",#N/A,FALSE,"RESUMEN"}</definedName>
    <definedName name="DDFD" hidden="1">{"RESUMEN",#N/A,FALSE,"RESUMEN";"RESUMEN_MARG",#N/A,FALSE,"RESUMEN"}</definedName>
    <definedName name="ddfdfdg" hidden="1">{"det (May)",#N/A,FALSE,"June";"sum (MAY YTD)",#N/A,FALSE,"June YTD"}</definedName>
    <definedName name="ddffc" hidden="1">{"det (May)",#N/A,FALSE,"June";"sum (MAY YTD)",#N/A,FALSE,"June YTD"}</definedName>
    <definedName name="DDKOKO" hidden="1">{"RESUMEN",#N/A,FALSE,"RESUMEN";"RESUMEN_MARG",#N/A,FALSE,"RESUMEN"}</definedName>
    <definedName name="DDSDSSD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eede" hidden="1">{"CAP VOL",#N/A,FALSE,"CAPITAL";"CAP VAR",#N/A,FALSE,"CAPITAL";"CAP FIJ",#N/A,FALSE,"CAPITAL";"CAP CONS",#N/A,FALSE,"CAPITAL";"CAP DATA",#N/A,FALSE,"CAPITAL"}</definedName>
    <definedName name="desder" hidden="1">{"det (May)",#N/A,FALSE,"June";"sum (MAY YTD)",#N/A,FALSE,"June YTD"}</definedName>
    <definedName name="df" hidden="1">{"CAP VOL",#N/A,FALSE,"CAPITAL";"CAP VAR",#N/A,FALSE,"CAPITAL";"CAP FIJ",#N/A,FALSE,"CAPITAL";"CAP CONS",#N/A,FALSE,"CAPITAL";"CAP DATA",#N/A,FALSE,"CAPITAL"}</definedName>
    <definedName name="dfadf" hidden="1">{"report102",#N/A,FALSE,"102"}</definedName>
    <definedName name="DFD" hidden="1">{#N/A,#N/A,FALSE,"RGD$";#N/A,#N/A,FALSE,"BG$";#N/A,#N/A,FALSE,"FC$"}</definedName>
    <definedName name="dfdf" hidden="1">{"Real",#N/A,FALSE,"CONSOLIDADO";"Real",#N/A,FALSE,"OCCIDENTE";"Real",#N/A,FALSE,"LARA";"Real",#N/A,FALSE,"CENTRO";"Real",#N/A,FALSE,"METROPOLITANA";"Real",#N/A,FALSE,"ORIENTE";"Real",#N/A,FALSE,"Pto.libre"}</definedName>
    <definedName name="dfdfdffdfd" hidden="1">{"det (May)",#N/A,FALSE,"June";"sum (MAY YTD)",#N/A,FALSE,"June YTD"}</definedName>
    <definedName name="dfdf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ds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fdxffx" hidden="1">{"det (May)",#N/A,FALSE,"June";"sum (MAY YTD)",#N/A,FALSE,"June YTD"}</definedName>
    <definedName name="dff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g" hidden="1">{#N/A,#N/A,FALSE,"지침";#N/A,#N/A,FALSE,"환경분석";#N/A,#N/A,FALSE,"Sheet16"}</definedName>
    <definedName name="dfgd" hidden="1">{"det (May)",#N/A,FALSE,"June";"sum (MAY YTD)",#N/A,FALSE,"June YTD"}</definedName>
    <definedName name="dfgdfgs" hidden="1">{#N/A,#N/A,FALSE,"PRECIO FULL";#N/A,#N/A,FALSE,"LARA";#N/A,#N/A,FALSE,"CARACAS";#N/A,#N/A,FALSE,"DISBRACENTRO";#N/A,#N/A,FALSE,"ANDES";#N/A,#N/A,FALSE,"MAR CARIBE";#N/A,#N/A,FALSE,"RIO BEER";#N/A,#N/A,FALSE,"DISBRAH"}</definedName>
    <definedName name="dfgdgf" hidden="1">{#N/A,#N/A,FALSE,"FIN AÑO"}</definedName>
    <definedName name="dfgdgr" hidden="1">{"det (May)",#N/A,FALSE,"June";"sum (MAY YTD)",#N/A,FALSE,"June YTD"}</definedName>
    <definedName name="dfgh" hidden="1">{"'cua 42'!$A$1:$O$40"}</definedName>
    <definedName name="dfgsd" hidden="1">{"CAP VOL",#N/A,FALSE,"CAPITAL";"CAP VAR",#N/A,FALSE,"CAPITAL";"CAP FIJ",#N/A,FALSE,"CAPITAL";"CAP CONS",#N/A,FALSE,"CAPITAL";"CAP DATA",#N/A,FALSE,"CAPITAL"}</definedName>
    <definedName name="dfgsdfhh" hidden="1">{"det (May)",#N/A,FALSE,"June";"sum (MAY YTD)",#N/A,FALSE,"June YTD"}</definedName>
    <definedName name="dfh" hidden="1">{"det (May)",#N/A,FALSE,"June";"sum (MAY YTD)",#N/A,FALSE,"June YTD"}</definedName>
    <definedName name="dfhfdhdf" hidden="1">{"det (May)",#N/A,FALSE,"June";"sum (MAY YTD)",#N/A,FALSE,"June YTD"}</definedName>
    <definedName name="dfh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rhgzsdhsz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fs" hidden="1">{"Real",#N/A,FALSE,"CONSOLIDADO";"Real",#N/A,FALSE,"OCCIDENTE";"Real",#N/A,FALSE,"LARA";"Real",#N/A,FALSE,"CENTRO";"Real",#N/A,FALSE,"METROPOLITANA";"Real",#N/A,FALSE,"ORIENTE";"Real",#N/A,FALSE,"Pto.libre"}</definedName>
    <definedName name="dfsdasdf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dfsd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fsfsdf" hidden="1">{"prem1",#N/A,FALSE,"Consolidado";"pl_us",#N/A,FALSE,"Consolidado";"pl_hl",#N/A,FALSE,"Consolidado";"bs",#N/A,FALSE,"Consolidado";"cf",#N/A,FALSE,"Consolidado"}</definedName>
    <definedName name="dfsgfh" hidden="1">{"det (May)",#N/A,FALSE,"June";"sum (MAY YTD)",#N/A,FALSE,"June YTD"}</definedName>
    <definedName name="dfss" hidden="1">{#N/A,#N/A,FALSE,"FIN AÑO"}</definedName>
    <definedName name="dfyjtjutj" hidden="1">{"det (May)",#N/A,FALSE,"June";"sum (MAY YTD)",#N/A,FALSE,"June YTD"}</definedName>
    <definedName name="dfzd" hidden="1">{"det (May)",#N/A,FALSE,"June";"sum (MAY YTD)",#N/A,FALSE,"June YTD"}</definedName>
    <definedName name="dgdg" hidden="1">{"det (May)",#N/A,FALSE,"June";"sum (MAY YTD)",#N/A,FALSE,"June YTD"}</definedName>
    <definedName name="dgfdg" hidden="1">{"det (May)",#N/A,FALSE,"June";"sum (MAY YTD)",#N/A,FALSE,"June YTD"}</definedName>
    <definedName name="dghgg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ghj" hidden="1">{"det (May)",#N/A,FALSE,"June";"sum (MAY YTD)",#N/A,FALSE,"June YTD"}</definedName>
    <definedName name="dh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hdh" hidden="1">{"det (May)",#N/A,FALSE,"June";"sum (MAY YTD)",#N/A,FALSE,"June YTD"}</definedName>
    <definedName name="dhgdfhgf" hidden="1">{"det (May)",#N/A,FALSE,"June";"sum (MAY YTD)",#N/A,FALSE,"June YTD"}</definedName>
    <definedName name="digo" hidden="1">{"RESUMEN",#N/A,FALSE,"RESUMEN";"RESUMEN_MARG",#N/A,FALSE,"RESUMEN"}</definedName>
    <definedName name="DiscountDrfit" hidden="1">{"det (May)",#N/A,FALSE,"June";"sum (MAY YTD)",#N/A,FALSE,"June YTD"}</definedName>
    <definedName name="DJHJH" hidden="1">{#N/A,#N/A,FALSE,"PRECIO FULL";#N/A,#N/A,FALSE,"LARA";#N/A,#N/A,FALSE,"CARACAS";#N/A,#N/A,FALSE,"DISBRACENTRO";#N/A,#N/A,FALSE,"ANDES";#N/A,#N/A,FALSE,"MAR CARIBE";#N/A,#N/A,FALSE,"RIO BEER";#N/A,#N/A,FALSE,"DISBRAH"}</definedName>
    <definedName name="DJJKJ" hidden="1">{"RESUMEN",#N/A,FALSE,"RESUMEN";"RESUMEN_MARG",#N/A,FALSE,"RESUMEN"}</definedName>
    <definedName name="DJLJLKJLK" hidden="1">{#N/A,#N/A,FALSE,"PRECIO FULL";#N/A,#N/A,FALSE,"LARA";#N/A,#N/A,FALSE,"CARACAS";#N/A,#N/A,FALSE,"DISBRACENTRO";#N/A,#N/A,FALSE,"ANDES";#N/A,#N/A,FALSE,"MAR CARIBE";#N/A,#N/A,FALSE,"RIO BEER";#N/A,#N/A,FALSE,"DISBRAH"}</definedName>
    <definedName name="dkibid" hidden="1">{"REPORT101",#N/A,FALSE,"101 &amp; 111"}</definedName>
    <definedName name="dkk" hidden="1">{#N/A,#N/A,FALSE,"PRECIO FULL";#N/A,#N/A,FALSE,"LARA";#N/A,#N/A,FALSE,"CARACAS";#N/A,#N/A,FALSE,"DISBRACENTRO";#N/A,#N/A,FALSE,"ANDES";#N/A,#N/A,FALSE,"MAR CARIBE";#N/A,#N/A,FALSE,"RIO BEER";#N/A,#N/A,FALSE,"DISBRAH"}</definedName>
    <definedName name="DKLJJK" hidden="1">{#N/A,#N/A,FALSE,"PRECIO FULL";#N/A,#N/A,FALSE,"LARA";#N/A,#N/A,FALSE,"CARACAS";#N/A,#N/A,FALSE,"DISBRACENTRO";#N/A,#N/A,FALSE,"ANDES";#N/A,#N/A,FALSE,"MAR CARIBE";#N/A,#N/A,FALSE,"RIO BEER";#N/A,#N/A,FALSE,"DISBRAH"}</definedName>
    <definedName name="DLKKKLÑK" hidden="1">{#N/A,#N/A,FALSE,"RGD$";#N/A,#N/A,FALSE,"BG$";#N/A,#N/A,FALSE,"FC$"}</definedName>
    <definedName name="DLKLKLK" hidden="1">{#N/A,#N/A,FALSE,"RGD$";#N/A,#N/A,FALSE,"BG$";#N/A,#N/A,FALSE,"FC$"}</definedName>
    <definedName name="DLÑLÑ" hidden="1">{"CAP VOL",#N/A,FALSE,"CAPITAL";"CAP VAR",#N/A,FALSE,"CAPITAL";"CAP FIJ",#N/A,FALSE,"CAPITAL";"CAP CONS",#N/A,FALSE,"CAPITAL";"CAP DATA",#N/A,FALSE,"CAPITAL"}</definedName>
    <definedName name="DÑLS" hidden="1">{#N/A,#N/A,FALSE,"PRECIO FULL";#N/A,#N/A,FALSE,"LARA";#N/A,#N/A,FALSE,"CARACAS";#N/A,#N/A,FALSE,"DISBRACENTRO";#N/A,#N/A,FALSE,"ANDES";#N/A,#N/A,FALSE,"MAR CARIBE";#N/A,#N/A,FALSE,"RIO BEER";#N/A,#N/A,FALSE,"DISBRAH"}</definedName>
    <definedName name="Dominican_RepublicByEntity_FooterType" hidden="1">"NONE"</definedName>
    <definedName name="Dominio" hidden="1">{"CAP VOL",#N/A,FALSE,"CAPITAL";"CAP VAR",#N/A,FALSE,"CAPITAL";"CAP FIJ",#N/A,FALSE,"CAPITAL";"CAP CONS",#N/A,FALSE,"CAPITAL";"CAP DATA",#N/A,FALSE,"CAPITAL"}</definedName>
    <definedName name="DomRep_FooterType" hidden="1">"EXTERNAL"</definedName>
    <definedName name="dqsdsfq" hidden="1">{"det (May)",#N/A,FALSE,"June";"sum (MAY YTD)",#N/A,FALSE,"June YTD"}</definedName>
    <definedName name="dqsedfq" hidden="1">{"det (May)",#N/A,FALSE,"June";"sum (MAY YTD)",#N/A,FALSE,"June YTD"}</definedName>
    <definedName name="dqsfdqs" hidden="1">{"det (May)",#N/A,FALSE,"June";"sum (MAY YTD)",#N/A,FALSE,"June YTD"}</definedName>
    <definedName name="draft53" hidden="1">{"det (May)",#N/A,FALSE,"June";"sum (MAY YTD)",#N/A,FALSE,"June YTD"}</definedName>
    <definedName name="drftjtyjtyj" hidden="1">{"det (May)",#N/A,FALSE,"June";"sum (MAY YTD)",#N/A,FALSE,"June YTD"}</definedName>
    <definedName name="drtyjtyjuuj" hidden="1">{"det (May)",#N/A,FALSE,"June";"sum (MAY YTD)",#N/A,FALSE,"June YTD"}</definedName>
    <definedName name="ds" hidden="1">{#N/A,#N/A,FALSE,"Hoja1";#N/A,#N/A,FALSE,"Hoja2"}</definedName>
    <definedName name="dsasd" hidden="1">{"Cons_Occ_Lar",#N/A,FALSE,"márgenes";"Cen_met",#N/A,FALSE,"márgenes";"Ori_pl",#N/A,FALSE,"márgenes"}</definedName>
    <definedName name="dsc" hidden="1">{#N/A,#N/A,FALSE,"Hoja1";#N/A,#N/A,FALSE,"Hoja2"}</definedName>
    <definedName name="DSCA" hidden="1">{#N/A,#N/A,FALSE,"Hoja1";#N/A,#N/A,FALSE,"Hoja2"}</definedName>
    <definedName name="dsda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DJKJKLJ" hidden="1">{"Real",#N/A,FALSE,"CONSOLIDADO";"Real",#N/A,FALSE,"OCCIDENTE";"Real",#N/A,FALSE,"LARA";"Real",#N/A,FALSE,"CENTRO";"Real",#N/A,FALSE,"METROPOLITANA";"Real",#N/A,FALSE,"ORIENTE";"Real",#N/A,FALSE,"Pto.libre"}</definedName>
    <definedName name="dsd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dsd" hidden="1">{#N/A,#N/A,FALSE,"Hoja1";#N/A,#N/A,FALSE,"Hoja2"}</definedName>
    <definedName name="DSF" hidden="1">{#N/A,#N/A,FALSE,"Hoja1";#N/A,#N/A,FALSE,"Hoja2"}</definedName>
    <definedName name="dsfd" hidden="1">{"RESUMEN",#N/A,FALSE,"RESUMEN";"RESUMEN_MARG",#N/A,FALSE,"RESUMEN"}</definedName>
    <definedName name="dsfds" hidden="1">{"CAP VOL",#N/A,FALSE,"CAPITAL";"CAP VAR",#N/A,FALSE,"CAPITAL";"CAP FIJ",#N/A,FALSE,"CAPITAL";"CAP CONS",#N/A,FALSE,"CAPITAL";"CAP DATA",#N/A,FALSE,"CAPITAL"}</definedName>
    <definedName name="DSFDSAF" hidden="1">{#N/A,#N/A,FALSE,"FINAL"}</definedName>
    <definedName name="dsfsd" hidden="1">{"CAP VOL",#N/A,FALSE,"CAPITAL";"CAP VAR",#N/A,FALSE,"CAPITAL";"CAP FIJ",#N/A,FALSE,"CAPITAL";"CAP CONS",#N/A,FALSE,"CAPITAL";"CAP DATA",#N/A,FALSE,"CAPITAL"}</definedName>
    <definedName name="dsgdfgfghf" hidden="1">{"det (May)",#N/A,FALSE,"June";"sum (MAY YTD)",#N/A,FALSE,"June YTD"}</definedName>
    <definedName name="DSKKLÑ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dsqfdf" hidden="1">{"det (May)",#N/A,FALSE,"June";"sum (MAY YTD)",#N/A,FALSE,"June YTD"}</definedName>
    <definedName name="dssdsd" hidden="1">{#N/A,#N/A,FALSE,"Hoja1";#N/A,#N/A,FALSE,"Hoja2"}</definedName>
    <definedName name="DSSSSSSSSS" hidden="1">{"Cons_Occ_Lar",#N/A,FALSE,"márgenes";"Cen_met",#N/A,FALSE,"márgenes";"Ori_pl",#N/A,FALSE,"márgenes"}</definedName>
    <definedName name="dsvbgl" hidden="1">{"det (May)",#N/A,FALSE,"June";"sum (MAY YTD)",#N/A,FALSE,"June YTD"}</definedName>
    <definedName name="dsx" hidden="1">{"prem1",#N/A,FALSE,"Consolidado";"pl_us",#N/A,FALSE,"Consolidado";"pl_hl",#N/A,FALSE,"Consolidado";"bs",#N/A,FALSE,"Consolidado";"cf",#N/A,FALSE,"Consolidado"}</definedName>
    <definedName name="DSXA" hidden="1">{"prem1",#N/A,FALSE,"Consolidado";"pl_us",#N/A,FALSE,"Consolidado";"pl_hl",#N/A,FALSE,"Consolidado";"bs",#N/A,FALSE,"Consolidado";"cf",#N/A,FALSE,"Consolidado"}</definedName>
    <definedName name="dtheth" hidden="1">{"det (May)",#N/A,FALSE,"June";"sum (MAY YTD)",#N/A,FALSE,"June YTD"}</definedName>
    <definedName name="dtjkdujktd" hidden="1">{"det (May)",#N/A,FALSE,"June";"sum (MAY YTD)",#N/A,FALSE,"June YTD"}</definedName>
    <definedName name="dtjtyjyt" hidden="1">{"det (May)",#N/A,FALSE,"June";"sum (MAY YTD)",#N/A,FALSE,"June YTD"}</definedName>
    <definedName name="dtyjdj" hidden="1">{"det (May)",#N/A,FALSE,"June";"sum (MAY YTD)",#N/A,FALSE,"June YTD"}</definedName>
    <definedName name="dtyjdtj" hidden="1">{"det (May)",#N/A,FALSE,"June";"sum (MAY YTD)",#N/A,FALSE,"June YTD"}</definedName>
    <definedName name="dtyjdtjt" hidden="1">{"det (May)",#N/A,FALSE,"June";"sum (MAY YTD)",#N/A,FALSE,"June YTD"}</definedName>
    <definedName name="dtyjtj" hidden="1">{"det (May)",#N/A,FALSE,"June";"sum (MAY YTD)",#N/A,FALSE,"June YTD"}</definedName>
    <definedName name="dtyjtjtyd" hidden="1">{"det (May)",#N/A,FALSE,"June";"sum (MAY YTD)",#N/A,FALSE,"June YTD"}</definedName>
    <definedName name="dtyjtjyt" hidden="1">{"det (May)",#N/A,FALSE,"June";"sum (MAY YTD)",#N/A,FALSE,"June YTD"}</definedName>
    <definedName name="dtytdyjtyj" hidden="1">{"det (May)",#N/A,FALSE,"June";"sum (MAY YTD)",#N/A,FALSE,"June YTD"}</definedName>
    <definedName name="DUAFER" hidden="1">{"det (May)",#N/A,FALSE,"June";"sum (MAY YTD)",#N/A,FALSE,"June YTD"}</definedName>
    <definedName name="dude" hidden="1">{"'Server Configuration'!$A$1:$DB$281"}</definedName>
    <definedName name="dx" hidden="1">{"miles",#N/A,FALSE,"LUCROS E PERDAS (US$ 000)";"hl",#N/A,FALSE,"LUCROS E PERDAS (US$ 000)"}</definedName>
    <definedName name="DXC" hidden="1">{"miles",#N/A,FALSE,"LUCROS E PERDAS (US$ 000)";"hl",#N/A,FALSE,"LUCROS E PERDAS (US$ 000)"}</definedName>
    <definedName name="dyjdjy" hidden="1">{"det (May)",#N/A,FALSE,"June";"sum (MAY YTD)",#N/A,FALSE,"June YTD"}</definedName>
    <definedName name="dyjdtjd" hidden="1">{"det (May)",#N/A,FALSE,"June";"sum (MAY YTD)",#N/A,FALSE,"June YTD"}</definedName>
    <definedName name="dyjtj" hidden="1">{"det (May)",#N/A,FALSE,"June";"sum (MAY YTD)",#N/A,FALSE,"June YTD"}</definedName>
    <definedName name="dyjtjy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yjtyj" hidden="1">{"det (May)",#N/A,FALSE,"June";"sum (MAY YTD)",#N/A,FALSE,"June YTD"}</definedName>
    <definedName name="dyjtyjuj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dyjtyjuykj" hidden="1">{"det (May)",#N/A,FALSE,"June";"sum (MAY YTD)",#N/A,FALSE,"June YTD"}</definedName>
    <definedName name="e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EBITDA_2" hidden="1">{#N/A,#N/A,FALSE,"TOTAL"}</definedName>
    <definedName name="EC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edi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ediosn" hidden="1">{#N/A,#N/A,FALSE,"Aging Summary";#N/A,#N/A,FALSE,"Ratio Analysis";#N/A,#N/A,FALSE,"Test 120 Day Accts";#N/A,#N/A,FALSE,"Tickmarks"}</definedName>
    <definedName name="ee" hidden="1">{"det (May)",#N/A,FALSE,"June";"sum (MAY YTD)",#N/A,FALSE,"June YTD"}</definedName>
    <definedName name="eee" hidden="1">{"det (May)",#N/A,FALSE,"June";"sum (MAY YTD)",#N/A,FALSE,"June YTD"}</definedName>
    <definedName name="eeee" hidden="1">{"JOBCOGS",#N/A,FALSE,"JOB COGS";"JOBHIST",#N/A,FALSE,"JOB COGS"}</definedName>
    <definedName name="efrfer" hidden="1">{"det (May)",#N/A,FALSE,"June";"sum (MAY YTD)",#N/A,FALSE,"June YTD"}</definedName>
    <definedName name="efze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eirhg" hidden="1">{"det (May)",#N/A,FALSE,"June";"sum (MAY YTD)",#N/A,FALSE,"June YTD"}</definedName>
    <definedName name="eirnf" hidden="1">{"det (May)",#N/A,FALSE,"June";"sum (MAY YTD)",#N/A,FALSE,"June YTD"}</definedName>
    <definedName name="epsa" hidden="1">{"Real",#N/A,FALSE,"CONSOLIDADO";"Real",#N/A,FALSE,"OCCIDENTE";"Real",#N/A,FALSE,"LARA";"Real",#N/A,FALSE,"CENTRO";"Real",#N/A,FALSE,"METROPOLITANA";"Real",#N/A,FALSE,"ORIENTE";"Real",#N/A,FALSE,"Pto.libre"}</definedName>
    <definedName name="eqgg" hidden="1">{"det (May)",#N/A,FALSE,"June";"sum (MAY YTD)",#N/A,FALSE,"June YTD"}</definedName>
    <definedName name="Equatorial" hidden="1">{#N/A,#N/A,FALSE,"TOTAL"}</definedName>
    <definedName name="er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erer" hidden="1">{#N/A,#N/A,FALSE,"Hoja1";#N/A,#N/A,FALSE,"Hoja2"}</definedName>
    <definedName name="ERERE" hidden="1">{#N/A,#N/A,FALSE,"Hoja1";#N/A,#N/A,FALSE,"Hoja2"}</definedName>
    <definedName name="erg" hidden="1">{"det (May)",#N/A,FALSE,"June";"sum (MAY YTD)",#N/A,FALSE,"June YTD"}</definedName>
    <definedName name="ergqag" hidden="1">{"det (May)",#N/A,FALSE,"June";"sum (MAY YTD)",#N/A,FALSE,"June YTD"}</definedName>
    <definedName name="ergqegqs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ergqgqg" hidden="1">{"det (May)",#N/A,FALSE,"June";"sum (MAY YTD)",#N/A,FALSE,"June YTD"}</definedName>
    <definedName name="ergqsgxcvfgh" hidden="1">{"det (May)",#N/A,FALSE,"June";"sum (MAY YTD)",#N/A,FALSE,"June YTD"}</definedName>
    <definedName name="eroweir" hidden="1">{"det (May)",#N/A,FALSE,"June";"sum (MAY YTD)",#N/A,FALSE,"June YTD"}</definedName>
    <definedName name="erre" hidden="1">{"CAP VOL",#N/A,FALSE,"CAPITAL";"CAP VAR",#N/A,FALSE,"CAPITAL";"CAP FIJ",#N/A,FALSE,"CAPITAL";"CAP CONS",#N/A,FALSE,"CAPITAL";"CAP DATA",#N/A,FALSE,"CAPITAL"}</definedName>
    <definedName name="ERRER" hidden="1">{"CAP VOL",#N/A,FALSE,"CAPITAL";"CAP VAR",#N/A,FALSE,"CAPITAL";"CAP FIJ",#N/A,FALSE,"CAPITAL";"CAP CONS",#N/A,FALSE,"CAPITAL";"CAP DATA",#N/A,FALSE,"CAPITAL"}</definedName>
    <definedName name="erttyy" hidden="1">{"det (May)",#N/A,FALSE,"June";"sum (MAY YTD)",#N/A,FALSE,"June YTD"}</definedName>
    <definedName name="ertyfrgh" hidden="1">{"det (May)",#N/A,FALSE,"June";"sum (MAY YTD)",#N/A,FALSE,"June YTD"}</definedName>
    <definedName name="eryhrh" hidden="1">{"det (May)",#N/A,FALSE,"June";"sum (MAY YTD)",#N/A,FALSE,"June YTD"}</definedName>
    <definedName name="esdr" hidden="1">{#N/A,#N/A,FALSE,"ROTINA";#N/A,#N/A,FALSE,"ITENS";#N/A,#N/A,FALSE,"ACOMP"}</definedName>
    <definedName name="esnrc100c1_values" hidden="1">{"FTSE100","COMPANIES",TRUE}</definedName>
    <definedName name="esnrc33c1_values" hidden="1">{"EUMOT","COMPANIES",TRUE}</definedName>
    <definedName name="esnrc56c1_values" hidden="1">{"ASCONGRP","COMPANIES",TRUE}</definedName>
    <definedName name="esnrc63c1_values" hidden="1">{"EUUTIGRP","COMPANIES",TRUE}</definedName>
    <definedName name="esnrc91c1_values" hidden="1">{"EUUTI","COMPANIES",TRUE}</definedName>
    <definedName name="etyjde" hidden="1">{"det (May)",#N/A,FALSE,"June";"sum (MAY YTD)",#N/A,FALSE,"June YTD"}</definedName>
    <definedName name="etyjetje" hidden="1">{"det (May)",#N/A,FALSE,"June";"sum (MAY YTD)",#N/A,FALSE,"June YTD"}</definedName>
    <definedName name="etyjte" hidden="1">{"det (May)",#N/A,FALSE,"June";"sum (MAY YTD)",#N/A,FALSE,"June YTD"}</definedName>
    <definedName name="EV__LASTREFTIME__" hidden="1">39386.3005092593</definedName>
    <definedName name="eyig" hidden="1">{"det (May)",#N/A,FALSE,"June";"sum (MAY YTD)",#N/A,FALSE,"June YTD"}</definedName>
    <definedName name="ezerr" hidden="1">{"det (May)",#N/A,FALSE,"June";"sum (MAY YTD)",#N/A,FALSE,"June YTD"}</definedName>
    <definedName name="ezfzefa" hidden="1">{"det (May)",#N/A,FALSE,"June";"sum (MAY YTD)",#N/A,FALSE,"June YTD"}</definedName>
    <definedName name="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cparnature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fcvxc" hidden="1">{#N/A,#N/A,FALSE,"Hoja1";#N/A,#N/A,FALSE,"Hoja2"}</definedName>
    <definedName name="fdaasfsdfdsafasdfas" hidden="1">{"CAP VOL",#N/A,FALSE,"CAPITAL";"CAP VAR",#N/A,FALSE,"CAPITAL";"CAP FIJ",#N/A,FALSE,"CAPITAL";"CAP CONS",#N/A,FALSE,"CAPITAL";"CAP DATA",#N/A,FALSE,"CAPITAL"}</definedName>
    <definedName name="fddddddddddddddddddddd" hidden="1">{"det (May)",#N/A,FALSE,"June";"sum (MAY YTD)",#N/A,FALSE,"June YTD"}</definedName>
    <definedName name="fddfr" hidden="1">{"Prenissas",#N/A,FALSE,"Consolidado (3)";"Lucros000",#N/A,FALSE,"Consolidado (3)";"LucrosHL",#N/A,FALSE,"Consolidado (3)";"Balanco",#N/A,FALSE,"Consolidado (3)";"FluxoC",#N/A,FALSE,"Consolidado (3)"}</definedName>
    <definedName name="fdf" hidden="1">{"det (May)",#N/A,FALSE,"June";"sum (MAY YTD)",#N/A,FALSE,"June YTD"}</definedName>
    <definedName name="fdfd" hidden="1">{#N/A,#N/A,FALSE,"Aging Summary";#N/A,#N/A,FALSE,"Ratio Analysis";#N/A,#N/A,FALSE,"Test 120 Day Accts";#N/A,#N/A,FALSE,"Tickmarks"}</definedName>
    <definedName name="fdfghs" hidden="1">{"det (May)",#N/A,FALSE,"June";"sum (MAY YTD)",#N/A,FALSE,"June YTD"}</definedName>
    <definedName name="fdg" hidden="1">{#N/A,#N/A,FALSE,"FIN AÑO"}</definedName>
    <definedName name="fdgdfg" hidden="1">{"RESUMEN",#N/A,FALSE,"RESUMEN";"RESUMEN_MARG",#N/A,FALSE,"RESUMEN"}</definedName>
    <definedName name="fdghdgjghj" hidden="1">{"det (May)",#N/A,FALSE,"June";"sum (MAY YTD)",#N/A,FALSE,"June YTD"}</definedName>
    <definedName name="fdhdfh" hidden="1">{"det (May)",#N/A,FALSE,"June";"sum (MAY YTD)",#N/A,FALSE,"June YTD"}</definedName>
    <definedName name="fdhf" hidden="1">{"det (May)",#N/A,FALSE,"June";"sum (MAY YTD)",#N/A,FALSE,"June YTD"}</definedName>
    <definedName name="fdqf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ds" hidden="1">{"Cons_Occ_Lar",#N/A,FALSE,"márgenes";"Cen_met",#N/A,FALSE,"márgenes";"Ori_pl",#N/A,FALSE,"márgenes"}</definedName>
    <definedName name="fdsd" hidden="1">{"RESUMEN",#N/A,FALSE,"RESUMEN";"RESUMEN_MARG",#N/A,FALSE,"RESUMEN"}</definedName>
    <definedName name="fdsdfs" hidden="1">{"prem1",#N/A,FALSE,"Consolidado";"pl_us",#N/A,FALSE,"Consolidado";"pl_hl",#N/A,FALSE,"Consolidado";"bs",#N/A,FALSE,"Consolidado";"cf",#N/A,FALSE,"Consolidado"}</definedName>
    <definedName name="fdsfsd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fdsfsdf" hidden="1">{#N/A,#N/A,FALSE,"Hoja1";#N/A,#N/A,FALSE,"Hoja2"}</definedName>
    <definedName name="fdsfsew" hidden="1">{#N/A,#N/A,FALSE,"Hoja1";#N/A,#N/A,FALSE,"Hoja2"}</definedName>
    <definedName name="fdssdfsdf" hidden="1">{"miles",#N/A,FALSE,"LUCROS E PERDAS (US$ 000)";"hl",#N/A,FALSE,"LUCROS E PERDAS (US$ 000)"}</definedName>
    <definedName name="ferafa" hidden="1">{"det (May)",#N/A,FALSE,"June";"sum (MAY YTD)",#N/A,FALSE,"June YTD"}</definedName>
    <definedName name="ferfrfr" hidden="1">{"det (May)",#N/A,FALSE,"June";"sum (MAY YTD)",#N/A,FALSE,"June YTD"}</definedName>
    <definedName name="ff" hidden="1">{"det (May)",#N/A,FALSE,"June";"sum (MAY YTD)",#N/A,FALSE,"June YTD"}</definedName>
    <definedName name="ffd" hidden="1">{#N/A,#N/A,FALSE,"PRECIO FULL";#N/A,#N/A,FALSE,"LARA";#N/A,#N/A,FALSE,"CARACAS";#N/A,#N/A,FALSE,"DISBRACENTRO";#N/A,#N/A,FALSE,"ANDES";#N/A,#N/A,FALSE,"MAR CARIBE";#N/A,#N/A,FALSE,"RIO BEER";#N/A,#N/A,FALSE,"DISBRAH"}</definedName>
    <definedName name="ffdds" hidden="1">{"Cons_Occ_Lar",#N/A,FALSE,"márgenes";"Cen_met",#N/A,FALSE,"márgenes";"Ori_pl",#N/A,FALSE,"márgenes"}</definedName>
    <definedName name="ffdgwe" hidden="1">{"Real",#N/A,FALSE,"CONSOLIDADO";"Real",#N/A,FALSE,"OCCIDENTE";"Real",#N/A,FALSE,"LARA";"Real",#N/A,FALSE,"CENTRO";"Real",#N/A,FALSE,"METROPOLITANA";"Real",#N/A,FALSE,"ORIENTE";"Real",#N/A,FALSE,"Pto.libre"}</definedName>
    <definedName name="ffdsfd" hidden="1">{#N/A,#N/A,FALSE,"Aging Summary";#N/A,#N/A,FALSE,"Ratio Analysis";#N/A,#N/A,FALSE,"Test 120 Day Accts";#N/A,#N/A,FALSE,"Tickmarks"}</definedName>
    <definedName name="FFF" hidden="1">{#N/A,#N/A,FALSE,"지침";#N/A,#N/A,FALSE,"환경분석";#N/A,#N/A,FALSE,"Sheet16"}</definedName>
    <definedName name="FFFFFFFF" hidden="1">{#N/A,#N/A,FALSE,"PRECIO FULL";#N/A,#N/A,FALSE,"LARA";#N/A,#N/A,FALSE,"CARACAS";#N/A,#N/A,FALSE,"DISBRACENTRO";#N/A,#N/A,FALSE,"ANDES";#N/A,#N/A,FALSE,"MAR CARIBE";#N/A,#N/A,FALSE,"RIO BEER";#N/A,#N/A,FALSE,"DISBRAH"}</definedName>
    <definedName name="fffffffffff" hidden="1">{"'tasa de salida'!$A$1:$G$48"}</definedName>
    <definedName name="fffffffffffffffd" hidden="1">{"det (May)",#N/A,FALSE,"June";"sum (MAY YTD)",#N/A,FALSE,"June YTD"}</definedName>
    <definedName name="ffvb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gggggggggggggg" hidden="1">{"det (May)",#N/A,FALSE,"June";"sum (MAY YTD)",#N/A,FALSE,"June YTD"}</definedName>
    <definedName name="fg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hfg" hidden="1">{"det (May)",#N/A,FALSE,"June";"sum (MAY YTD)",#N/A,FALSE,"June YTD"}</definedName>
    <definedName name="fghfghf" hidden="1">{"prem1",#N/A,FALSE,"Consolidado";"pl_us",#N/A,FALSE,"Consolidado";"pl_hl",#N/A,FALSE,"Consolidado";"bs",#N/A,FALSE,"Consolidado";"cf",#N/A,FALSE,"Consolidado"}</definedName>
    <definedName name="fghfhdfhgf" hidden="1">{"det (May)",#N/A,FALSE,"June";"sum (MAY YTD)",#N/A,FALSE,"June YTD"}</definedName>
    <definedName name="fgjhcv" hidden="1">{"det (May)",#N/A,FALSE,"June";"sum (MAY YTD)",#N/A,FALSE,"June YTD"}</definedName>
    <definedName name="fgnfgnf" hidden="1">{"det (May)",#N/A,FALSE,"June";"sum (MAY YTD)",#N/A,FALSE,"June YTD"}</definedName>
    <definedName name="fgnfxgnxf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gnmfnfg" hidden="1">{"det (May)",#N/A,FALSE,"June";"sum (MAY YTD)",#N/A,FALSE,"June YTD"}</definedName>
    <definedName name="fgtdfde" hidden="1">{"det (May)",#N/A,FALSE,"June";"sum (MAY YTD)",#N/A,FALSE,"June YTD"}</definedName>
    <definedName name="fhfghf" hidden="1">{"det (May)",#N/A,FALSE,"June";"sum (MAY YTD)",#N/A,FALSE,"June YTD"}</definedName>
    <definedName name="fhgfhx" hidden="1">{"det (May)",#N/A,FALSE,"June";"sum (MAY YTD)",#N/A,FALSE,"June YTD"}</definedName>
    <definedName name="fhjfghf" hidden="1">{"det (May)",#N/A,FALSE,"June";"sum (MAY YTD)",#N/A,FALSE,"June YTD"}</definedName>
    <definedName name="fhmghmg" hidden="1">{"det (May)",#N/A,FALSE,"June";"sum (MAY YTD)",#N/A,FALSE,"June YTD"}</definedName>
    <definedName name="fhmhgmh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hshsf" hidden="1">{"det (May)",#N/A,FALSE,"June";"sum (MAY YTD)",#N/A,FALSE,"June YTD"}</definedName>
    <definedName name="Fig" hidden="1">{"det (May)",#N/A,FALSE,"June";"sum (MAY YTD)",#N/A,FALSE,"June YTD"}</definedName>
    <definedName name="findme" hidden="1">{#N/A,#N/A,FALSE,"Assumptions";#N/A,#N/A,FALSE,"1997 P&amp;L(pk) Estrada";#N/A,#N/A,FALSE,"ONGOING P&amp;L(pk) Estrada"}</definedName>
    <definedName name="findme10" hidden="1">{#N/A,#N/A,FALSE,"1996 P&amp;L TOWTAC(pk)";#N/A,#N/A,FALSE,"ONGOING P&amp;L TOWTAC(pk)";#N/A,#N/A,FALSE,"ATL6TOWTAC COST CARD"}</definedName>
    <definedName name="findme11" hidden="1">{#N/A,#N/A,FALSE,"npv sort";#N/A,#N/A,FALSE,"npv";#N/A,#N/A,FALSE,"npv 4 years  sort";#N/A,#N/A,FALSE,"npv 4 years";#N/A,#N/A,FALSE,"npv 5 years ";#N/A,#N/A,FALSE,"npv 5 years sort"}</definedName>
    <definedName name="findme12" hidden="1">{#N/A,#N/A,FALSE,"Ranch WT ATP Fact Sheet";#N/A,#N/A,FALSE,"1996 P&amp;L Ranch W.T.(pk)";#N/A,#N/A,FALSE,"ONGOING P&amp;L Ranch W.T.(pk)"}</definedName>
    <definedName name="findme13" hidden="1">{#N/A,#N/A,FALSE,"Assumptions";#N/A,#N/A,FALSE,"ATP SCORAC (lb)";#N/A,#N/A,FALSE,"1996 P&amp;L SCO (lb)";#N/A,#N/A,FALSE,"ONG P&amp;L SCO (LB)"}</definedName>
    <definedName name="findme14" hidden="1">{#N/A,#N/A,FALSE,"1997 P&amp;L(pk) (Atlanta)";#N/A,#N/A,FALSE,"ONGOING P&amp;L(PK)(Atlanta)"}</definedName>
    <definedName name="findme2" hidden="1">{#N/A,#N/A,FALSE,"Assumptions";#N/A,#N/A,FALSE,"1997 P&amp;L(pk) Estrada";#N/A,#N/A,FALSE,"ONGOING P&amp;L(pk) Estrada"}</definedName>
    <definedName name="findme3" hidden="1">{#N/A,#N/A,FALSE,"ONGOING P&amp;L TOWTAC(lb)";#N/A,#N/A,FALSE,"ONGOING P&amp;L TOWTAC(pk)";#N/A,#N/A,FALSE,"1996 P&amp;L TOWTAC(lb)";#N/A,#N/A,FALSE,"1996 P&amp;L TOWTAC(pk)"}</definedName>
    <definedName name="findme4" hidden="1">{#N/A,#N/A,FALSE,"Assumptions";#N/A,#N/A,FALSE,"1996 P&amp;L SCO (lb)";#N/A,#N/A,FALSE,"ONG P&amp;L SCO (LB)"}</definedName>
    <definedName name="findme5" hidden="1">{#N/A,#N/A,FALSE,"1996 P&amp;L Pretzels (pk)";#N/A,#N/A,FALSE,"YEAR 1 P&amp;L Pretzels (pk)";#N/A,#N/A,FALSE,"ONGOING P&amp;L (pk) SNK CAN";#N/A,#N/A,FALSE,"Assumptions";#N/A,#N/A,FALSE,"assessment"}</definedName>
    <definedName name="findme6" hidden="1">{#N/A,#N/A,FALSE,"1997 P&amp;L(pk) (Atlanta)";#N/A,#N/A,FALSE,"ONGOING P&amp;L(PK)(Atlanta)"}</definedName>
    <definedName name="findme7" hidden="1">{#N/A,#N/A,FALSE,"Assumptions";#N/A,#N/A,FALSE,"1997 P&amp;L POTATO AC";#N/A,#N/A,FALSE,"ONGOING P&amp;L POTATO AC";#N/A,#N/A,FALSE,"ONGOING P&amp;L POTATO AC (70%)"}</definedName>
    <definedName name="findme8" hidden="1">{#N/A,#N/A,FALSE,"ONGOING P&amp;L POTATO AC";#N/A,#N/A,FALSE,"1997 P&amp;L POTATO AC"}</definedName>
    <definedName name="findme9" hidden="1">{#N/A,#N/A,FALSE,"Assumptions";#N/A,#N/A,FALSE,"1997 P&amp;L(pk) Estrada";#N/A,#N/A,FALSE,"ONGOING P&amp;L(pk) Estrada"}</definedName>
    <definedName name="fjhjgj" hidden="1">{"det (May)",#N/A,FALSE,"June";"sum (MAY YTD)",#N/A,FALSE,"June YTD"}</definedName>
    <definedName name="fkjhgdfgs" hidden="1">{"det (May)",#N/A,FALSE,"June";"sum (MAY YTD)",#N/A,FALSE,"June YTD"}</definedName>
    <definedName name="FKKF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flash" hidden="1">{#N/A,#N/A,FALSE,"FINAL"}</definedName>
    <definedName name="flux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FORÇADO_VOLUNTÁRIO" hidden="1">{#N/A,#N/A,FALSE,"ROTINA";#N/A,#N/A,FALSE,"ITENS";#N/A,#N/A,FALSE,"ACOMP"}</definedName>
    <definedName name="form" hidden="1">{#N/A,#N/A,FALSE,"지침";#N/A,#N/A,FALSE,"환경분석";#N/A,#N/A,FALSE,"Sheet16"}</definedName>
    <definedName name="fqsdhb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ranceByEntity_FooterType" hidden="1">"EXTERNAL"</definedName>
    <definedName name="frfrfr" hidden="1">{"det (May)",#N/A,FALSE,"June";"sum (MAY YTD)",#N/A,FALSE,"June YTD"}</definedName>
    <definedName name="frfz" hidden="1">{"det (May)",#N/A,FALSE,"June";"sum (MAY YTD)",#N/A,FALSE,"June YTD"}</definedName>
    <definedName name="fro" hidden="1">{"det (May)",#N/A,FALSE,"June";"sum (MAY YTD)",#N/A,FALSE,"June YTD"}</definedName>
    <definedName name="frrfr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frrgd" hidden="1">{"det (May)",#N/A,FALSE,"June";"sum (MAY YTD)",#N/A,FALSE,"June YTD"}</definedName>
    <definedName name="fsaf" hidden="1">{#N/A,#N/A,FALSE,"TOTAL"}</definedName>
    <definedName name="fsdffrf" hidden="1">{"det (May)",#N/A,FALSE,"June";"sum (MAY YTD)",#N/A,FALSE,"June YTD"}</definedName>
    <definedName name="fsdfsd" hidden="1">{#N/A,#N/A,FALSE,"Hoja1";#N/A,#N/A,FALSE,"Hoja2"}</definedName>
    <definedName name="fseewrewczxczx" hidden="1">{"prem1",#N/A,FALSE,"Consolidado";"pl_us",#N/A,FALSE,"Consolidado";"pl_hl",#N/A,FALSE,"Consolidado";"bs",#N/A,FALSE,"Consolidado";"cf",#N/A,FALSE,"Consolidado"}</definedName>
    <definedName name="fsfddfss" hidden="1">{"RESUMEN",#N/A,FALSE,"RESUMEN";"RESUMEN_MARG",#N/A,FALSE,"RESUMEN"}</definedName>
    <definedName name="fuck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g" hidden="1">{"det (May)",#N/A,FALSE,"June";"sum (MAY YTD)",#N/A,FALSE,"June YTD"}</definedName>
    <definedName name="gadfga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aga" hidden="1">{"payback",#N/A,FALSE,"Wirtschaftlichkeitsberechnung"}</definedName>
    <definedName name="gags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asdg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asdgas" hidden="1">{"payback2",#N/A,FALSE,"Wirtschaftlichkeitsberechnung"}</definedName>
    <definedName name="gasgd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D" hidden="1">{#N/A,#N/A,FALSE,"지침";#N/A,#N/A,FALSE,"환경분석";#N/A,#N/A,FALSE,"Sheet16"}</definedName>
    <definedName name="gddgdf" hidden="1">{"Real",#N/A,FALSE,"CONSOLIDADO";"Real",#N/A,FALSE,"OCCIDENTE";"Real",#N/A,FALSE,"LARA";"Real",#N/A,FALSE,"CENTRO";"Real",#N/A,FALSE,"METROPOLITANA";"Real",#N/A,FALSE,"ORIENTE";"Real",#N/A,FALSE,"Pto.libre"}</definedName>
    <definedName name="gdfgdgfd" hidden="1">{"total",#N/A,FALSE,"TOTAL $";"totalhl",#N/A,FALSE,"TOTAL $HL";"vol",#N/A,FALSE,"VOLUMEN";"xprod1",#N/A,FALSE,"X PROD";"xprod2",#N/A,FALSE,"X PROD";"finaño1",#N/A,FALSE,"FIN AÑO Meta";"finaño2",#N/A,FALSE,"FIN AÑO Meta"}</definedName>
    <definedName name="GDS" hidden="1">{#N/A,#N/A,FALSE,"Assessment";#N/A,#N/A,FALSE,"Staffing";#N/A,#N/A,FALSE,"Hires";#N/A,#N/A,FALSE,"Assumptions"}</definedName>
    <definedName name="genn" hidden="1">{"Cons_Occ_Lar",#N/A,FALSE,"márgenes";"Cen_met",#N/A,FALSE,"márgenes";"Ori_pl",#N/A,FALSE,"márgenes"}</definedName>
    <definedName name="GermanyByEntity_FooterType" hidden="1">"EXTERNAL"</definedName>
    <definedName name="gf" hidden="1">{"det (May)",#N/A,FALSE,"June";"sum (MAY YTD)",#N/A,FALSE,"June YTD"}</definedName>
    <definedName name="gfag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fa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fdf" hidden="1">{#N/A,#N/A,FALSE,"Aging Summary";#N/A,#N/A,FALSE,"Ratio Analysis";#N/A,#N/A,FALSE,"Test 120 Day Accts";#N/A,#N/A,FALSE,"Tickmarks"}</definedName>
    <definedName name="gfdgvc" hidden="1">{#N/A,#N/A,FALSE,"Hoja1";#N/A,#N/A,FALSE,"Hoja2"}</definedName>
    <definedName name="gfdhcxv" hidden="1">{"det (May)",#N/A,FALSE,"June";"sum (MAY YTD)",#N/A,FALSE,"June YTD"}</definedName>
    <definedName name="gfdy" hidden="1">{#N/A,#N/A,FALSE,"지침";#N/A,#N/A,FALSE,"환경분석";#N/A,#N/A,FALSE,"Sheet16"}</definedName>
    <definedName name="gfg" hidden="1">{"CAP VOL",#N/A,FALSE,"CAPITAL";"CAP VAR",#N/A,FALSE,"CAPITAL";"CAP FIJ",#N/A,FALSE,"CAPITAL";"CAP CONS",#N/A,FALSE,"CAPITAL";"CAP DATA",#N/A,FALSE,"CAPITAL"}</definedName>
    <definedName name="gfgd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gfa" hidden="1">{"payback",#N/A,FALSE,"Wirtschaftlichkeitsberechnung"}</definedName>
    <definedName name="gfghgf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gfhdfghfgh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hjdhe" hidden="1">{"det (May)",#N/A,FALSE,"June";"sum (MAY YTD)",#N/A,FALSE,"June YTD"}</definedName>
    <definedName name="gfhjfg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fhnx" hidden="1">{"det (May)",#N/A,FALSE,"June";"sum (MAY YTD)",#N/A,FALSE,"June YTD"}</definedName>
    <definedName name="gfwdfddf" hidden="1">{"miles",#N/A,FALSE,"LUCROS E PERDAS (US$ 000)";"hl",#N/A,FALSE,"LUCROS E PERDAS (US$ 000)"}</definedName>
    <definedName name="gg" hidden="1">{"det (May)",#N/A,FALSE,"June";"sum (MAY YTD)",#N/A,FALSE,"June YTD"}</definedName>
    <definedName name="ggg" hidden="1">{"det (May)",#N/A,FALSE,"June";"sum (MAY YTD)",#N/A,FALSE,"June YTD"}</definedName>
    <definedName name="gggg" hidden="1">{"det (May)",#N/A,FALSE,"June";"sum (MAY YTD)",#N/A,FALSE,"June YTD"}</definedName>
    <definedName name="GGGGGGGGGGG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ggggggggggggggggg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gggggggggggggggggggg" hidden="1">{"det (May)",#N/A,FALSE,"June";"sum (MAY YTD)",#N/A,FALSE,"June YTD"}</definedName>
    <definedName name="ghdfhjhjn" hidden="1">{"det (May)",#N/A,FALSE,"June";"sum (MAY YTD)",#N/A,FALSE,"June YTD"}</definedName>
    <definedName name="ghdjhgj" hidden="1">{"det (May)",#N/A,FALSE,"June";"sum (MAY YTD)",#N/A,FALSE,"June YTD"}</definedName>
    <definedName name="ghfdgh" hidden="1">{#N/A,#N/A,FALSE,"RGD$";#N/A,#N/A,FALSE,"BG$";#N/A,#N/A,FALSE,"FC$"}</definedName>
    <definedName name="gh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hghgh" hidden="1">{#N/A,#N/A,FALSE,"Hoja1";#N/A,#N/A,FALSE,"Hoja2"}</definedName>
    <definedName name="ghjgh" hidden="1">{"miles",#N/A,FALSE,"LUCROS E PERDAS (US$ 000)";"hl",#N/A,FALSE,"LUCROS E PERDAS (US$ 000)"}</definedName>
    <definedName name="ghjgh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hjghjg" hidden="1">{"det (May)",#N/A,FALSE,"June";"sum (MAY YTD)",#N/A,FALSE,"June YTD"}</definedName>
    <definedName name="ghjgjgh" hidden="1">{"det (May)",#N/A,FALSE,"June";"sum (MAY YTD)",#N/A,FALSE,"June YTD"}</definedName>
    <definedName name="ghjjkk" hidden="1">{"det (May)",#N/A,FALSE,"June";"sum (MAY YTD)",#N/A,FALSE,"June YTD"}</definedName>
    <definedName name="ghmghm" hidden="1">{"det (May)",#N/A,FALSE,"June";"sum (MAY YTD)",#N/A,FALSE,"June YTD"}</definedName>
    <definedName name="ghmghmg" hidden="1">{"det (May)",#N/A,FALSE,"June";"sum (MAY YTD)",#N/A,FALSE,"June YTD"}</definedName>
    <definedName name="ghsdfhdfhdf" hidden="1">{"det (May)",#N/A,FALSE,"June";"sum (MAY YTD)",#N/A,FALSE,"June YTD"}</definedName>
    <definedName name="ghuh" hidden="1">{"det (May)",#N/A,FALSE,"June";"sum (MAY YTD)",#N/A,FALSE,"June YTD"}</definedName>
    <definedName name="ghxf" hidden="1">{#N/A,#N/A,FALSE,"Aging Summary";#N/A,#N/A,FALSE,"Ratio Analysis";#N/A,#N/A,FALSE,"Test 120 Day Accts";#N/A,#N/A,FALSE,"Tickmarks"}</definedName>
    <definedName name="gjghjgh" hidden="1">{"det (May)",#N/A,FALSE,"June";"sum (MAY YTD)",#N/A,FALSE,"June YTD"}</definedName>
    <definedName name="GLDIi" hidden="1">{TRUE,TRUE,-1.25,-15.5,604.5,348,FALSE,TRUE,TRUE,TRUE,0,38,#N/A,1,#N/A,18.390243902439,21.1538461538462,1,FALSE,FALSE,3,TRUE,1,FALSE,75,"Swvu.Trimestre3.","ACwvu.Trimestre3.",1,FALSE,FALSE,0,0,0.9,0.69,2,"&amp;LLe &amp;D&amp;C&amp;""MS Sans Serif""&amp;12&amp;B&amp;UPROPORTIONS DES EMBALLAGES PAR MARQUES POUR LA PRODUCTION F94","&amp;LX:\APLII\SPV\&amp;F&amp;CPage &amp;P de &amp;N",TRUE,FALSE,FALSE,FALSE,1,100,#N/A,#N/A,"=R3C38:R164C55","=C1,R1",#N/A,#N/A,TRUE,FALSE}</definedName>
    <definedName name="GlobalData_FooterType" hidden="1">"NONE"</definedName>
    <definedName name="gmk" hidden="1">{#N/A,#N/A,FALSE,"Assessment";#N/A,#N/A,FALSE,"Staffing";#N/A,#N/A,FALSE,"Hires";#N/A,#N/A,FALSE,"Assumptions"}</definedName>
    <definedName name="graf" hidden="1">{"'Hoja1'!$A$1:$K$32"}</definedName>
    <definedName name="graf1" hidden="1">{"'Hoja1'!$A$1:$K$32"}</definedName>
    <definedName name="GRAFICOS" hidden="1">{#N/A,#N/A,FALSE,"Objetivos"}</definedName>
    <definedName name="GrafNuBandMod" hidden="1">{"'Hoja1'!$A$1:$K$32"}</definedName>
    <definedName name="grbbbbbbbq" hidden="1">{"det (May)",#N/A,FALSE,"June";"sum (MAY YTD)",#N/A,FALSE,"June YTD"}</definedName>
    <definedName name="grbsqsss" hidden="1">{"det (May)",#N/A,FALSE,"June";"sum (MAY YTD)",#N/A,FALSE,"June YTD"}</definedName>
    <definedName name="greg" hidden="1">{#N/A,#N/A,FALSE,"Assessment";#N/A,#N/A,FALSE,"Staffing";#N/A,#N/A,FALSE,"Hires";#N/A,#N/A,FALSE,"Assumptions"}</definedName>
    <definedName name="gsdfa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sdfga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gsfgfs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gt" hidden="1">{"det (May)",#N/A,FALSE,"June";"sum (MAY YTD)",#N/A,FALSE,"June YTD"}</definedName>
    <definedName name="gttr" hidden="1">{"det (May)",#N/A,FALSE,"June";"sum (MAY YTD)",#N/A,FALSE,"June YTD"}</definedName>
    <definedName name="gu" hidden="1">'[13]dep pre'!#REF!</definedName>
    <definedName name="guggyg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gyer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adfhola" hidden="1">{"'171'!$A$1:$Z$50"}</definedName>
    <definedName name="head">MODELO!$B$4:$P$19</definedName>
    <definedName name="hello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hey" hidden="1">{"RESUMEN",#N/A,FALSE,"RESUMEN";"RESUMEN_MARG",#N/A,FALSE,"RESUMEN"}</definedName>
    <definedName name="hgd" hidden="1">{"det (May)",#N/A,FALSE,"June";"sum (MAY YTD)",#N/A,FALSE,"June YTD"}</definedName>
    <definedName name="hgh" hidden="1">{#N/A,#N/A,FALSE,"ROTINA";#N/A,#N/A,FALSE,"ITENS";#N/A,#N/A,FALSE,"ACOMP"}</definedName>
    <definedName name="hghg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hghgh" hidden="1">{"prem1",#N/A,FALSE,"Consolidado";"pl_us",#N/A,FALSE,"Consolidado";"pl_hl",#N/A,FALSE,"Consolidado";"bs",#N/A,FALSE,"Consolidado";"cf",#N/A,FALSE,"Consolidado"}</definedName>
    <definedName name="hgjg" hidden="1">{"Prenissas",#N/A,FALSE,"Consolidado (3)";"Lucros000",#N/A,FALSE,"Consolidado (3)";"LucrosHL",#N/A,FALSE,"Consolidado (3)";"Balanco",#N/A,FALSE,"Consolidado (3)";"FluxoC",#N/A,FALSE,"Consolidado (3)"}</definedName>
    <definedName name="hgjghj" hidden="1">{"total",#N/A,FALSE,"TOTAL $";"totalhl",#N/A,FALSE,"TOTAL $HL";"vol",#N/A,FALSE,"VOLUMEN";"xprod1",#N/A,FALSE,"X PROD";"xprod2",#N/A,FALSE,"X PROD";"finaño1",#N/A,FALSE,"FIN AÑO Meta";"finaño2",#N/A,FALSE,"FIN AÑO Meta"}</definedName>
    <definedName name="hgjhh" hidden="1">{"CAP VOL",#N/A,FALSE,"CAPITAL";"CAP VAR",#N/A,FALSE,"CAPITAL";"CAP FIJ",#N/A,FALSE,"CAPITAL";"CAP CONS",#N/A,FALSE,"CAPITAL";"CAP DATA",#N/A,FALSE,"CAPITAL"}</definedName>
    <definedName name="hgkujhk" hidden="1">{"det (May)",#N/A,FALSE,"June";"sum (MAY YTD)",#N/A,FALSE,"June YTD"}</definedName>
    <definedName name="h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hh" hidden="1">{"det (May)",#N/A,FALSE,"June";"sum (MAY YTD)",#N/A,FALSE,"June YTD"}</definedName>
    <definedName name="HHHH" hidden="1">{#N/A,#N/A,FALSE,"RGD$";#N/A,#N/A,FALSE,"BG$";#N/A,#N/A,FALSE,"FC$"}</definedName>
    <definedName name="hjgj" hidden="1">{"det (May)",#N/A,FALSE,"June";"sum (MAY YTD)",#N/A,FALSE,"June YTD"}</definedName>
    <definedName name="hjgjggk" hidden="1">{"det (May)",#N/A,FALSE,"June";"sum (MAY YTD)",#N/A,FALSE,"June YTD"}</definedName>
    <definedName name="hjhjkhkjhkjhkjhkjhkjhkhkhjhkjhjkhkjhkj" hidden="1">{"det (May)",#N/A,FALSE,"June";"sum (MAY YTD)",#N/A,FALSE,"June YTD"}</definedName>
    <definedName name="hjhkjh" hidden="1">{"det (May)",#N/A,FALSE,"June";"sum (MAY YTD)",#N/A,FALSE,"June YTD"}</definedName>
    <definedName name="hjj" hidden="1">{#N/A,#N/A,FALSE,"ROTINA";#N/A,#N/A,FALSE,"ITENS";#N/A,#N/A,FALSE,"ACOMP"}</definedName>
    <definedName name="hjjjjjjjjjjjjjjjjjj" hidden="1">{"det (May)",#N/A,FALSE,"June";"sum (MAY YTD)",#N/A,FALSE,"June YTD"}</definedName>
    <definedName name="hjkhk" hidden="1">{"det (May)",#N/A,FALSE,"June";"sum (MAY YTD)",#N/A,FALSE,"June YTD"}</definedName>
    <definedName name="hjkjh" hidden="1">{"det (May)",#N/A,FALSE,"June";"sum (MAY YTD)",#N/A,FALSE,"June YTD"}</definedName>
    <definedName name="hjkk" hidden="1">{"bs",#N/A,FALSE,"Consolidado";"cf",#N/A,FALSE,"Consolidado";"pl_hl",#N/A,FALSE,"Consolidado";"pl_us",#N/A,FALSE,"Consolidado";"Prem1",#N/A,FALSE,"Consolidado"}</definedName>
    <definedName name="hjlkj" hidden="1">{#N/A,#N/A,FALSE,"BEER";#N/A,#N/A,FALSE,"WEST"}</definedName>
    <definedName name="hkfnxcs" hidden="1">{"det (May)",#N/A,FALSE,"June";"sum (MAY YTD)",#N/A,FALSE,"June YTD"}</definedName>
    <definedName name="hkhjk" hidden="1">{"Prenissas",#N/A,FALSE,"Consolidado (3)";"Lucros000",#N/A,FALSE,"Consolidado (3)";"LucrosHL",#N/A,FALSE,"Consolidado (3)";"Balanco",#N/A,FALSE,"Consolidado (3)";"FluxoC",#N/A,FALSE,"Consolidado (3)"}</definedName>
    <definedName name="hllliun" hidden="1">'[13]dep pre'!#REF!</definedName>
    <definedName name="hm" hidden="1">{#N/A,#N/A,FALSE,"Front page";"H&amp;M DCF and EVA Analysis",#N/A,FALSE,"Front page";"H&amp;M Cash Flow Statement",#N/A,FALSE,"Front page";"H&amp;M Balance Sheet",#N/A,FALSE,"Front page";"H&amp;M Quarterly Income Statement",#N/A,FALSE,"Front page";"H&amp;M Income Statement",#N/A,FALSE,"Front page";"H&amp;M Quarterly Sales Analysis",#N/A,FALSE,"Front page";"H&amp;M Sales Analysis",#N/A,FALSE,"Front page"}</definedName>
    <definedName name="hmghj" hidden="1">{"det (May)",#N/A,FALSE,"June";"sum (MAY YTD)",#N/A,FALSE,"June YTD"}</definedName>
    <definedName name="hoja" hidden="1">{"'Hoja1'!$A$1:$K$32"}</definedName>
    <definedName name="HOMFE" hidden="1">{#N/A,#N/A,FALSE,"Assessment";#N/A,#N/A,FALSE,"Staffing";#N/A,#N/A,FALSE,"Hires";#N/A,#N/A,FALSE,"Assumptions"}</definedName>
    <definedName name="hrhrhrh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htdfjty" hidden="1">{"det (May)",#N/A,FALSE,"June";"sum (MAY YTD)",#N/A,FALSE,"June YTD"}</definedName>
    <definedName name="HTML_CodePage" hidden="1">1252</definedName>
    <definedName name="HTML_Control" hidden="1">{"'RR'!$A$2:$E$81"}</definedName>
    <definedName name="HTML_Control2" hidden="1">{"'171'!$A$1:$Z$50"}</definedName>
    <definedName name="HTML_Control3" hidden="1">{"'tasa de salida'!$A$1:$G$48"}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PathTemplate" hidden="1">"F:\Farol Comparativo.htm"</definedName>
    <definedName name="HTML_Title" hidden="1">"Regional 4 SET99"</definedName>
    <definedName name="HTML1_1" hidden="1">"[CUODE.XLS]CUODE!$B$8:$K$98"</definedName>
    <definedName name="HTML1_10" hidden="1">""</definedName>
    <definedName name="HTML1_11" hidden="1">1</definedName>
    <definedName name="HTML1_12" hidden="1">"G:\WORKSE\LUCY\WEB1\FUENTE\Cuoset.htm"</definedName>
    <definedName name="HTML1_2" hidden="1">-4146</definedName>
    <definedName name="HTML1_3" hidden="1">"G:\WORKSE\LUCY\WEB1\cuoago.htm"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"10/09/96"</definedName>
    <definedName name="HTML1_9" hidden="1">""</definedName>
    <definedName name="HTML2_1" hidden="1">"[CUODE.XLS]CUODE!$B$9:$K$100"</definedName>
    <definedName name="HTML2_10" hidden="1">""</definedName>
    <definedName name="HTML2_11" hidden="1">1</definedName>
    <definedName name="HTML2_12" hidden="1">"G:\PRODES\WWW\WEB1\FUENTE\Cuoset.htm"</definedName>
    <definedName name="HTML2_2" hidden="1">-4146</definedName>
    <definedName name="HTML2_3" hidden="1">"G:\PRODES\WWW\WEB1\CUOAGO.HTM"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"11/09/96"</definedName>
    <definedName name="HTML2_9" hidden="1">""</definedName>
    <definedName name="HTML3_1" hidden="1">"[CUODE.XLS]CUODE!$G$13:$I$99"</definedName>
    <definedName name="HTML3_11" hidden="1">1</definedName>
    <definedName name="HTML3_12" hidden="1">"G:\WORKSE\LUCY\WEB\MyHTML.htm"</definedName>
    <definedName name="HTML3_2" hidden="1">-4146</definedName>
    <definedName name="HTML3_3" hidden="1">"G:\WORKSE\LUCY\WEB1\CUOAGO.HTM"</definedName>
    <definedName name="HTML4_1" hidden="1">"[CUODE.XLS]CUODE!$B$10:$K$100"</definedName>
    <definedName name="HTML4_11" hidden="1">1</definedName>
    <definedName name="HTML4_12" hidden="1">"G:\PRODES\WWW\WEB1\FUENTE\Cuoset.htm"</definedName>
    <definedName name="HTML4_2" hidden="1">-4146</definedName>
    <definedName name="HTML4_3" hidden="1">"G:\PRODES\WWW\WEB1\CUOAGO.HTM"</definedName>
    <definedName name="HTML5_1" hidden="1">"[CUODE.XLS]CUODE!$B$10:$I$100"</definedName>
    <definedName name="HTML5_11" hidden="1">1</definedName>
    <definedName name="HTML5_12" hidden="1">"G:\PRODES\WWW\WEB1\FUENTE\Cuoset.htm"</definedName>
    <definedName name="HTML5_2" hidden="1">-4146</definedName>
    <definedName name="HTML5_3" hidden="1">"G:\PRODES\WWW\WEB1\CUOAGO.HTM"</definedName>
    <definedName name="HTML6_1" hidden="1">"[CUODE.XLS]CUODE!$B$10:$H$100"</definedName>
    <definedName name="HTML6_11" hidden="1">1</definedName>
    <definedName name="HTML6_12" hidden="1">"G:\PRODES\WWW\WEB1\FUENTE\JULIO\Cuoset.htm"</definedName>
    <definedName name="HTML6_2" hidden="1">-4146</definedName>
    <definedName name="HTML6_3" hidden="1">"G:\PRODES\WWW\WEB1\CUOAGO.HTM"</definedName>
    <definedName name="HTML7_1" hidden="1">"[MESCUO.XLS]CUODE!$B$11:$M$100"</definedName>
    <definedName name="HTML7_11" hidden="1">1</definedName>
    <definedName name="HTML7_12" hidden="1">"G:\PRODES\WWW\WEB1\FUENTE\JULIO\MESCUO.htm"</definedName>
    <definedName name="HTML7_2" hidden="1">-4146</definedName>
    <definedName name="HTML7_3" hidden="1">"G:\PRODES\WWW\WEB1\MESCUO.HTM"</definedName>
    <definedName name="HTML8_1" hidden="1">"[MESCUO.XLS]CUODE!$B$11:$K$99"</definedName>
    <definedName name="HTML8_11" hidden="1">1</definedName>
    <definedName name="HTML8_12" hidden="1">"G:\PRODES\WWW\WEB1\FUENTE\AGO\MESCUO.htm"</definedName>
    <definedName name="HTML8_2" hidden="1">-4146</definedName>
    <definedName name="HTML8_3" hidden="1">"G:\PRODES\WWW\WEB1\MESCUO.HTM"</definedName>
    <definedName name="HTML9_1" hidden="1">"[MESCUO.XLS]CUODE!$B$11:$J$99"</definedName>
    <definedName name="HTML9_11" hidden="1">1</definedName>
    <definedName name="HTML9_12" hidden="1">"G:\PRODES\WWW\WEB1\FUENTE\JULIO\Mescuo.htm"</definedName>
    <definedName name="HTML9_2" hidden="1">-4146</definedName>
    <definedName name="HTML9_3" hidden="1">"G:\PRODES\WWW\WEB1\MESCUO.HTM"</definedName>
    <definedName name="HTMLCount" hidden="1">9</definedName>
    <definedName name="h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hyuik" hidden="1">{"det (May)",#N/A,FALSE,"June";"sum (MAY YTD)",#N/A,FALSE,"June YTD"}</definedName>
    <definedName name="hzdrfg" hidden="1">{#N/A,#N/A,FALSE,"Aging Summary";#N/A,#N/A,FALSE,"Ratio Analysis";#N/A,#N/A,FALSE,"Test 120 Day Accts";#N/A,#N/A,FALSE,"Tickmarks"}</definedName>
    <definedName name="I" hidden="1">{"'Hoja1'!$A$1:$K$32"}</definedName>
    <definedName name="ic" hidden="1">{#N/A,#N/A,FALSE,"지침";#N/A,#N/A,FALSE,"환경분석";#N/A,#N/A,FALSE,"Sheet16"}</definedName>
    <definedName name="iii" hidden="1">{"det (May)",#N/A,FALSE,"June";"sum (MAY YTD)",#N/A,FALSE,"June YTD"}</definedName>
    <definedName name="iiiiiiiiiiiiiiiiiiop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iiiiiiiiiiiiiiik" hidden="1">{"det (May)",#N/A,FALSE,"June";"sum (MAY YTD)",#N/A,FALSE,"June YTD"}</definedName>
    <definedName name="iiiiiiiiiiiiio" hidden="1">{"det (May)",#N/A,FALSE,"June";"sum (MAY YTD)",#N/A,FALSE,"June YTD"}</definedName>
    <definedName name="IISIII" hidden="1">{#N/A,#N/A,FALSE,"RGD$";#N/A,#N/A,FALSE,"BG$";#N/A,#N/A,FALSE,"FC$"}</definedName>
    <definedName name="IISIIS" hidden="1">{"Real",#N/A,FALSE,"CONSOLIDADO";"Real",#N/A,FALSE,"OCCIDENTE";"Real",#N/A,FALSE,"LARA";"Real",#N/A,FALSE,"CENTRO";"Real",#N/A,FALSE,"METROPOLITANA";"Real",#N/A,FALSE,"ORIENTE";"Real",#N/A,FALSE,"Pto.libre"}</definedName>
    <definedName name="iiyu" hidden="1">{"Prenissas",#N/A,FALSE,"Consolidado (3)";"Lucros000",#N/A,FALSE,"Consolidado (3)";"LucrosHL",#N/A,FALSE,"Consolidado (3)";"Balanco",#N/A,FALSE,"Consolidado (3)";"FluxoC",#N/A,FALSE,"Consolidado (3)"}</definedName>
    <definedName name="ijki" hidden="1">{"det (May)",#N/A,FALSE,"June";"sum (MAY YTD)",#N/A,FALSE,"June YTD"}</definedName>
    <definedName name="illlllllllllllll" hidden="1">{"det (May)",#N/A,FALSE,"June";"sum (MAY YTD)",#N/A,FALSE,"June YTD"}</definedName>
    <definedName name="Img_2010PE_vs_CAGR" hidden="1">"IMG_10"</definedName>
    <definedName name="Img_CAGR" hidden="1">"IMG_10"</definedName>
    <definedName name="Img_Chart1" hidden="1">"IMG_19"</definedName>
    <definedName name="Img_Chart2" hidden="1">"IMG_19"</definedName>
    <definedName name="Img_ML_1s5r9m2q" hidden="1">"IMG_2"</definedName>
    <definedName name="Img_ML_5h6q3g8u" hidden="1">"IMG_10"</definedName>
    <definedName name="Img_ML_7n6h3t1t" hidden="1">"IMG_19"</definedName>
    <definedName name="Img_ML_7s7w4o2i" hidden="1">"IMG_18"</definedName>
    <definedName name="Img_ML_8b9j5t1p" hidden="1">"IMG_19"</definedName>
    <definedName name="Img_ML_8r1k8t4y" hidden="1">"IMG_19"</definedName>
    <definedName name="Img_NETDEBT_EBITDA" hidden="1">"IMG_10"</definedName>
    <definedName name="Img_PE_CAGR_ChartData" hidden="1">"IMG_10"</definedName>
    <definedName name="imp" hidden="1">{#N/A,#N/A,FALSE,"Hoja1";#N/A,#N/A,FALSE,"Hoja2"}</definedName>
    <definedName name="IMPO" hidden="1">{#N/A,#N/A,FALSE,"Hoja1";#N/A,#N/A,FALSE,"Hoja2"}</definedName>
    <definedName name="inst" hidden="1">{"'Hoja1'!$A$1:$K$32"}</definedName>
    <definedName name="instoct_2000" hidden="1">{"'Hoja1'!$A$1:$K$32"}</definedName>
    <definedName name="iogfrio" hidden="1">{"det (May)",#N/A,FALSE,"June";"sum (MAY YTD)",#N/A,FALSE,"June YTD"}</definedName>
    <definedName name="ioghgfgf" hidden="1">{"det (May)",#N/A,FALSE,"June";"sum (MAY YTD)",#N/A,FALSE,"June YTD"}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NUM_EST" hidden="1">"c374"</definedName>
    <definedName name="IQ_EBITDA_OVER_TOTAL_IE" hidden="1">"c373"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HIGH_EST" hidden="1">"c400"</definedName>
    <definedName name="IQ_EPS_LOW_EST" hidden="1">"c401"</definedName>
    <definedName name="IQ_EPS_NUM_EST" hidden="1">"c402"</definedName>
    <definedName name="IQ_EPS_STDDEV_EST" hidden="1">"c403"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ST_ACT_EPS" hidden="1">"c1648"</definedName>
    <definedName name="IQ_EST_DATE" hidden="1">"c1634"</definedName>
    <definedName name="IQ_EST_EPS_GROWTH_1YR" hidden="1">"c1636"</definedName>
    <definedName name="IQ_EST_EPS_GROWTH_2YR" hidden="1">"c1637"</definedName>
    <definedName name="IQ_EST_EPS_GROWTH_Q_1YR" hidden="1">"c1641"</definedName>
    <definedName name="IQ_EST_EPS_SURPRISE" hidden="1">"c1635"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NUM_EST" hidden="1">"c421"</definedName>
    <definedName name="IQ_FFO_STDDEV_EST" hidden="1">"c422"</definedName>
    <definedName name="IQ_FH" hidden="1">100000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AMORT_BR" hidden="1">"c532"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LTMMONTH" hidden="1">120000</definedName>
    <definedName name="IQ_MACHINERY" hidden="1">"c711"</definedName>
    <definedName name="IQ_MAINT_CAPEX_ACT_OR_EST" hidden="1">"c4458"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hidden="1">42312.6449537037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"c1122"</definedName>
    <definedName name="IQ_REVENUE_EST" hidden="1">"c1126"</definedName>
    <definedName name="IQ_REVENUE_HIGH_EST" hidden="1">"c1127"</definedName>
    <definedName name="IQ_REVENUE_LOW_EST" hidden="1">"c1128"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OTAL_UNUSUAL_BR" hidden="1">"c5517"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YTDMONTH" hidden="1">130000</definedName>
    <definedName name="IQ_Z_SCORE" hidden="1">"c1339"</definedName>
    <definedName name="Ireland_FooterType" hidden="1">"EXTERNAL"</definedName>
    <definedName name="ispi" hidden="1">{#N/A,#N/A,FALSE,"RGD$";#N/A,#N/A,FALSE,"BG$";#N/A,#N/A,FALSE,"FC$"}</definedName>
    <definedName name="it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iui" hidden="1">{"total",#N/A,FALSE,"TOTAL $";"totalhl",#N/A,FALSE,"TOTAL $HL";"vol",#N/A,FALSE,"VOLUMEN";"xprod1",#N/A,FALSE,"X PROD";"xprod2",#N/A,FALSE,"X PROD";"finaño1",#N/A,FALSE,"FIN AÑO Meta";"finaño2",#N/A,FALSE,"FIN AÑO Meta"}</definedName>
    <definedName name="IUOPè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j" hidden="1">{"det (May)",#N/A,FALSE,"June";"sum (MAY YTD)",#N/A,FALSE,"June YTD"}</definedName>
    <definedName name="J1TBJ2P.ConciliationDétailléTpsCtiTvh.Remar" hidden="1">[14]ConciliationDétailléeTpsCti!$S$16:$S$24,[14]ConciliationDétailléeTpsCti!$AG$16:$AG$24,[14]ConciliationDétailléeTpsCti!$AG$24</definedName>
    <definedName name="J1TBJ2P.ConciliationDétailléTvqRti.Remar" hidden="1">[14]ConciliationDétailléeTvqRti!$Q$16:$Q$24,[14]ConciliationDétailléeTvqRti!$AC$16:$AC$24</definedName>
    <definedName name="J1TCAC.ERVDetailInteret.NEQ_1" hidden="1">#REF!</definedName>
    <definedName name="J1TCAC.ERVDetailInteret.NoDoss_1" hidden="1">#REF!</definedName>
    <definedName name="J1TCAC.ERVDetailInteret.NoDossier_1" hidden="1">#REF!</definedName>
    <definedName name="J1TCAC.ERVDetailInteret.NomEntrep1_1" hidden="1">#REF!</definedName>
    <definedName name="J1TCAC.ERVDetailInteret.NomEntrep2_1" hidden="1">#REF!</definedName>
    <definedName name="J1TCAC.ERVDetailInteret.NomFeuil_1" hidden="1">#REF!</definedName>
    <definedName name="J1TCAC.ERVDetailInteret.NoTPS_1" hidden="1">#REF!</definedName>
    <definedName name="J1TCAC.ERVDetailInteret.OperFict_1" hidden="1">#REF!</definedName>
    <definedName name="J1TCAC.ERVDetailInteret.PiedTitrLign1_1" hidden="1">#REF!</definedName>
    <definedName name="J1TCAC.ERVDetailInteret.TitreRenInt_1" hidden="1">#REF!</definedName>
    <definedName name="J1TCAC.ERVDetailInteret.TitrEtatRaj_1" hidden="1">#REF!</definedName>
    <definedName name="J1TCAC.ERVDetailInteret.TitrPerVerif_1" hidden="1">#REF!</definedName>
    <definedName name="J1TCAC.ERVDetailInteret.TotAutIntRenon_1" hidden="1">#REF!</definedName>
    <definedName name="J1TCAC.ERVDetailInteret.TotInteDeb_1" hidden="1">#REF!</definedName>
    <definedName name="J1TCAC.ERVDetailInteret.TotIntRenon_1" hidden="1">#REF!</definedName>
    <definedName name="J1TCAC.ERVDetailInteret.TotIntRenonOpFictMaj_1" hidden="1">#REF!</definedName>
    <definedName name="J1TCAC.ERVDetailInteret.TotOperFict_1" hidden="1">#REF!</definedName>
    <definedName name="J1TCAC.ERVDetailParFeuille.AutrElemRajustes_1" hidden="1">#REF!</definedName>
    <definedName name="J1TCAC.ERVDetailParFeuille.AutrElemRajustes_2" hidden="1">#REF!</definedName>
    <definedName name="J1TCAC.ERVDetailParFeuille.AutrPenal_1" hidden="1">#REF!</definedName>
    <definedName name="J1TCAC.ERVDetailParFeuille.AutrPenal_2" hidden="1">#REF!</definedName>
    <definedName name="J1TCAC.ERVDetailParFeuille.DebutTotalElement_1" hidden="1">#REF!</definedName>
    <definedName name="J1TCAC.ERVDetailParFeuille.DebutTotalElement_2" hidden="1">#REF!</definedName>
    <definedName name="J1TCAC.ERVDetailParFeuille.FinTotalElement_1" hidden="1">#REF!</definedName>
    <definedName name="J1TCAC.ERVDetailParFeuille.FinTotalElement_2" hidden="1">#REF!</definedName>
    <definedName name="J1TCAC.ERVDetailParFeuille.MontPayblDemnd_1" hidden="1">#REF!</definedName>
    <definedName name="J1TCAC.ERVDetailParFeuille.MontPayblDemnd_2" hidden="1">#REF!</definedName>
    <definedName name="J1TCAC.ERVDetailParFeuille.MontRecl_1" hidden="1">#REF!</definedName>
    <definedName name="J1TCAC.ERVDetailParFeuille.MontRecl_2" hidden="1">#REF!</definedName>
    <definedName name="J1TCAC.ERVDetailParFeuille.NEQ_1" hidden="1">#REF!</definedName>
    <definedName name="J1TCAC.ERVDetailParFeuille.NEQ_2" hidden="1">#REF!</definedName>
    <definedName name="J1TCAC.ERVDetailParFeuille.NoDoss_1" hidden="1">#REF!</definedName>
    <definedName name="J1TCAC.ERVDetailParFeuille.NoDoss_2" hidden="1">#REF!</definedName>
    <definedName name="J1TCAC.ERVDetailParFeuille.NoDossier_1" hidden="1">#REF!</definedName>
    <definedName name="J1TCAC.ERVDetailParFeuille.NoDossier_2" hidden="1">#REF!</definedName>
    <definedName name="J1TCAC.ERVDetailParFeuille.NomEntrep1_1" hidden="1">#REF!</definedName>
    <definedName name="J1TCAC.ERVDetailParFeuille.NomEntrep1_2" hidden="1">#REF!</definedName>
    <definedName name="J1TCAC.ERVDetailParFeuille.NomEntrep2_1" hidden="1">#REF!</definedName>
    <definedName name="J1TCAC.ERVDetailParFeuille.NomEntrep2_2" hidden="1">#REF!</definedName>
    <definedName name="J1TCAC.ERVDetailParFeuille.NomFeuil_1" hidden="1">#REF!</definedName>
    <definedName name="J1TCAC.ERVDetailParFeuille.NomFeuil_2" hidden="1">#REF!</definedName>
    <definedName name="J1TCAC.ERVDetailParFeuille.NoTPS_1" hidden="1">#REF!</definedName>
    <definedName name="J1TCAC.ERVDetailParFeuille.NoTPS_2" hidden="1">#REF!</definedName>
    <definedName name="J1TCAC.ERVDetailParFeuille.PiedTitrLign1_1" hidden="1">#REF!</definedName>
    <definedName name="J1TCAC.ERVDetailParFeuille.PiedTitrLign1_2" hidden="1">#REF!</definedName>
    <definedName name="J1TCAC.ERVDetailParFeuille.PiedTitrLign2_1" hidden="1">#REF!</definedName>
    <definedName name="J1TCAC.ERVDetailParFeuille.PiedTitrLign2_2" hidden="1">#REF!</definedName>
    <definedName name="J1TCAC.ERVDetailParFeuille.PiedTitrLign3_1" hidden="1">#REF!</definedName>
    <definedName name="J1TCAC.ERVDetailParFeuille.PiedTitrLign3_2" hidden="1">#REF!</definedName>
    <definedName name="J1TCAC.ERVDetailParFeuille.PiedTitrLign4_1" hidden="1">#REF!</definedName>
    <definedName name="J1TCAC.ERVDetailParFeuille.PiedTitrLign4_2" hidden="1">#REF!</definedName>
    <definedName name="J1TCAC.ERVDetailParFeuille.PiedTitrLign5_1" hidden="1">#REF!</definedName>
    <definedName name="J1TCAC.ERVDetailParFeuille.PiedTitrLign5_2" hidden="1">#REF!</definedName>
    <definedName name="J1TCAC.ERVDetailParFeuille.PiedTitrLign6_1" hidden="1">#REF!</definedName>
    <definedName name="J1TCAC.ERVDetailParFeuille.PiedTitrLign6_2" hidden="1">#REF!</definedName>
    <definedName name="J1TCAC.ERVDetailParFeuille.PiedTitrLignVide_1" hidden="1">#REF!</definedName>
    <definedName name="J1TCAC.ERVDetailParFeuille.PiedTitrLignVide_2" hidden="1">#REF!</definedName>
    <definedName name="J1TCAC.ERVDetailParFeuille.PiedTitrMontPayblDemnd_1" hidden="1">#REF!</definedName>
    <definedName name="J1TCAC.ERVDetailParFeuille.PiedTitrMontPayblDemnd_2" hidden="1">#REF!</definedName>
    <definedName name="J1TCAC.ERVDetailParFeuille.PiedTitrMontRecl_1" hidden="1">#REF!</definedName>
    <definedName name="J1TCAC.ERVDetailParFeuille.PiedTitrMontRecl_2" hidden="1">#REF!</definedName>
    <definedName name="J1TCAC.ERVDetailParFeuille.TitrCodejuri_1" hidden="1">#REF!</definedName>
    <definedName name="J1TCAC.ERVDetailParFeuille.TitrCodejuri_2" hidden="1">#REF!</definedName>
    <definedName name="J1TCAC.ERVDetailParFeuille.TitrEle_1" hidden="1">#REF!</definedName>
    <definedName name="J1TCAC.ERVDetailParFeuille.TitrEle_2" hidden="1">#REF!</definedName>
    <definedName name="J1TCAC.ERVDetailParFeuille.TitrEtatRaj_1" hidden="1">#REF!</definedName>
    <definedName name="J1TCAC.ERVDetailParFeuille.TitrEtatRaj_2" hidden="1">#REF!</definedName>
    <definedName name="J1TCAC.ERVDetailParFeuille.TitrFinPer_1" hidden="1">#REF!</definedName>
    <definedName name="J1TCAC.ERVDetailParFeuille.TitrFinPer_2" hidden="1">#REF!</definedName>
    <definedName name="J1TCAC.ERVDetailParFeuille.TitrNomFeuil_1" hidden="1">#REF!</definedName>
    <definedName name="J1TCAC.ERVDetailParFeuille.TitrNomFeuil_2" hidden="1">#REF!</definedName>
    <definedName name="J1TCAC.ERVDetailParFeuille.TitrPerVerif_1" hidden="1">#REF!</definedName>
    <definedName name="J1TCAC.ERVDetailParFeuille.TitrPerVerif_2" hidden="1">#REF!</definedName>
    <definedName name="J1TCAC.ERVDetailParFeuille.TitrSomm_1" hidden="1">#REF!</definedName>
    <definedName name="J1TCAC.ERVDetailParFeuille.TitrSomm_2" hidden="1">#REF!</definedName>
    <definedName name="J1TCAC.ERVDetailParFeuille.TitrTotEle_1" hidden="1">#REF!</definedName>
    <definedName name="J1TCAC.ERVDetailParFeuille.TitrTotEle_2" hidden="1">#REF!</definedName>
    <definedName name="J1TCAC.ERVDetailParFeuille.TitrTotFeuil_1" hidden="1">#REF!</definedName>
    <definedName name="J1TCAC.ERVDetailParFeuille.TitrTotFeuil_2" hidden="1">#REF!</definedName>
    <definedName name="J1TCAC.ERVDetailParFeuille.TotInteCre_1" hidden="1">#REF!</definedName>
    <definedName name="J1TCAC.ERVDetailParFeuille.TotInteCre_2" hidden="1">#REF!</definedName>
    <definedName name="J1TCAC.ERVDetailParFeuille.TotInteDeb_1" hidden="1">#REF!</definedName>
    <definedName name="J1TCAC.ERVDetailParFeuille.TotInteDeb_2" hidden="1">#REF!</definedName>
    <definedName name="J1TCAC.ERVDetailParFeuille.TotPenal_1" hidden="1">#REF!</definedName>
    <definedName name="J1TCAC.ERVDetailParFeuille.TotPenal_2" hidden="1">#REF!</definedName>
    <definedName name="J1TCAC.ERVDetailParFeuille.TotRaj_1" hidden="1">#REF!</definedName>
    <definedName name="J1TCAC.ERVDetailParFeuille.TotRaj_2" hidden="1">#REF!</definedName>
    <definedName name="J1TCAC.ERVDetailPenalite.NEQ_1" hidden="1">#REF!</definedName>
    <definedName name="J1TCAC.ERVDetailPenalite.NoDoss_1" hidden="1">#REF!</definedName>
    <definedName name="J1TCAC.ERVDetailPenalite.NoDossier_1" hidden="1">#REF!</definedName>
    <definedName name="J1TCAC.ERVDetailPenalite.NomEntrep1_1" hidden="1">#REF!</definedName>
    <definedName name="J1TCAC.ERVDetailPenalite.NomEntrep2_1" hidden="1">#REF!</definedName>
    <definedName name="J1TCAC.ERVDetailPenalite.NomFeuil_1" hidden="1">#REF!</definedName>
    <definedName name="J1TCAC.ERVDetailPenalite.NoTPS_1" hidden="1">#REF!</definedName>
    <definedName name="J1TCAC.ERVDetailPenalite.TitrEtatRaj_1" hidden="1">#REF!</definedName>
    <definedName name="J1TCAC.ERVDetailPenalite.TitrPerVerif_1" hidden="1">#REF!</definedName>
    <definedName name="J1TCAC.ERVSommaire.AutrElemRajustes_1" hidden="1">#REF!</definedName>
    <definedName name="J1TCAC.ERVSommaire.AutrElemRajustes_2" hidden="1">#REF!</definedName>
    <definedName name="J1TCAC.ERVSommaire.AutrPenal_1" hidden="1">#REF!</definedName>
    <definedName name="J1TCAC.ERVSommaire.AutrPenal_2" hidden="1">#REF!</definedName>
    <definedName name="J1TCAC.ERVSommaire.DebutTotalElement_1" hidden="1">#REF!</definedName>
    <definedName name="J1TCAC.ERVSommaire.DebutTotalElement_2" hidden="1">#REF!</definedName>
    <definedName name="J1TCAC.ERVSommaire.FinTotalElement_1" hidden="1">#REF!</definedName>
    <definedName name="J1TCAC.ERVSommaire.FinTotalElement_2" hidden="1">#REF!</definedName>
    <definedName name="J1TCAC.ERVSommaire.MontPayblDemnd_1" hidden="1">#REF!</definedName>
    <definedName name="J1TCAC.ERVSommaire.MontPayblDemnd_2" hidden="1">#REF!</definedName>
    <definedName name="J1TCAC.ERVSommaire.MontRecl_1" hidden="1">#REF!</definedName>
    <definedName name="J1TCAC.ERVSommaire.MontRecl_2" hidden="1">#REF!</definedName>
    <definedName name="J1TCAC.ERVSommaire.NEQ_1" hidden="1">#REF!</definedName>
    <definedName name="J1TCAC.ERVSommaire.NEQ_2" hidden="1">#REF!</definedName>
    <definedName name="J1TCAC.ERVSommaire.NoDoss_1" hidden="1">#REF!</definedName>
    <definedName name="J1TCAC.ERVSommaire.NoDoss_2" hidden="1">#REF!</definedName>
    <definedName name="J1TCAC.ERVSommaire.NoDossier_1" hidden="1">#REF!</definedName>
    <definedName name="J1TCAC.ERVSommaire.NoDossier_2" hidden="1">#REF!</definedName>
    <definedName name="J1TCAC.ERVSommaire.NomEntrep1_1" hidden="1">#REF!</definedName>
    <definedName name="J1TCAC.ERVSommaire.NomEntrep1_2" hidden="1">#REF!</definedName>
    <definedName name="J1TCAC.ERVSommaire.NomEntrep2_1" hidden="1">#REF!</definedName>
    <definedName name="J1TCAC.ERVSommaire.NomEntrep2_2" hidden="1">#REF!</definedName>
    <definedName name="J1TCAC.ERVSommaire.NomFeuil_1" hidden="1">#REF!</definedName>
    <definedName name="J1TCAC.ERVSommaire.NomFeuil_2" hidden="1">#REF!</definedName>
    <definedName name="J1TCAC.ERVSommaire.NoTPS_1" hidden="1">#REF!</definedName>
    <definedName name="J1TCAC.ERVSommaire.NoTPS_2" hidden="1">#REF!</definedName>
    <definedName name="J1TCAC.ERVSommaire.PiedTitrLign1_1" hidden="1">#REF!</definedName>
    <definedName name="J1TCAC.ERVSommaire.PiedTitrLign1_2" hidden="1">#REF!</definedName>
    <definedName name="J1TCAC.ERVSommaire.PiedTitrLign2_1" hidden="1">#REF!</definedName>
    <definedName name="J1TCAC.ERVSommaire.PiedTitrLign2_2" hidden="1">#REF!</definedName>
    <definedName name="J1TCAC.ERVSommaire.PiedTitrLign3_1" hidden="1">#REF!</definedName>
    <definedName name="J1TCAC.ERVSommaire.PiedTitrLign3_2" hidden="1">#REF!</definedName>
    <definedName name="J1TCAC.ERVSommaire.PiedTitrLign4_1" hidden="1">#REF!</definedName>
    <definedName name="J1TCAC.ERVSommaire.PiedTitrLign4_2" hidden="1">#REF!</definedName>
    <definedName name="J1TCAC.ERVSommaire.PiedTitrLign5_1" hidden="1">#REF!</definedName>
    <definedName name="J1TCAC.ERVSommaire.PiedTitrLign5_2" hidden="1">#REF!</definedName>
    <definedName name="J1TCAC.ERVSommaire.PiedTitrLign6_1" hidden="1">#REF!</definedName>
    <definedName name="J1TCAC.ERVSommaire.PiedTitrLign6_2" hidden="1">#REF!</definedName>
    <definedName name="J1TCAC.ERVSommaire.PiedTitrLignVide_1" hidden="1">#REF!</definedName>
    <definedName name="J1TCAC.ERVSommaire.PiedTitrLignVide_2" hidden="1">#REF!</definedName>
    <definedName name="J1TCAC.ERVSommaire.PiedTitrMontPayblDemnd_1" hidden="1">#REF!</definedName>
    <definedName name="J1TCAC.ERVSommaire.PiedTitrMontPayblDemnd_2" hidden="1">#REF!</definedName>
    <definedName name="J1TCAC.ERVSommaire.PiedTitrMontRecl_1" hidden="1">#REF!</definedName>
    <definedName name="J1TCAC.ERVSommaire.PiedTitrMontRecl_2" hidden="1">#REF!</definedName>
    <definedName name="J1TCAC.ERVSommaire.TitrCodeJuri_1" hidden="1">#REF!</definedName>
    <definedName name="J1TCAC.ERVSommaire.TitrCodeJuri_2" hidden="1">#REF!</definedName>
    <definedName name="J1TCAC.ERVSommaire.TitrEle_1" hidden="1">#REF!</definedName>
    <definedName name="J1TCAC.ERVSommaire.TitrEle_2" hidden="1">#REF!</definedName>
    <definedName name="J1TCAC.ERVSommaire.TitrEtatRaj_1" hidden="1">#REF!</definedName>
    <definedName name="J1TCAC.ERVSommaire.TitrEtatRaj_2" hidden="1">#REF!</definedName>
    <definedName name="J1TCAC.ERVSommaire.TitrNomFeuil_1" hidden="1">#REF!</definedName>
    <definedName name="J1TCAC.ERVSommaire.TitrNomFeuil_2" hidden="1">#REF!</definedName>
    <definedName name="J1TCAC.ERVSommaire.TitrPerVerif_1" hidden="1">#REF!</definedName>
    <definedName name="J1TCAC.ERVSommaire.TitrPerVerif_2" hidden="1">#REF!</definedName>
    <definedName name="J1TCAC.ERVSommaire.TitrSomm_1" hidden="1">#REF!</definedName>
    <definedName name="J1TCAC.ERVSommaire.TitrSomm_2" hidden="1">#REF!</definedName>
    <definedName name="J1TCAC.ERVSommaire.TitrTotEle_1" hidden="1">#REF!</definedName>
    <definedName name="J1TCAC.ERVSommaire.TitrTotEle_2" hidden="1">#REF!</definedName>
    <definedName name="J1TCAC.ERVSommaire.TitrTotFeuil_1" hidden="1">#REF!</definedName>
    <definedName name="J1TCAC.ERVSommaire.TitrTotFeuil_2" hidden="1">#REF!</definedName>
    <definedName name="J1TCAC.ERVSommaire.TotInteCre_1" hidden="1">#REF!</definedName>
    <definedName name="J1TCAC.ERVSommaire.TotInteCre_2" hidden="1">#REF!</definedName>
    <definedName name="J1TCAC.ERVSommaire.TotInteDeb_1" hidden="1">#REF!</definedName>
    <definedName name="J1TCAC.ERVSommaire.TotInteDeb_2" hidden="1">#REF!</definedName>
    <definedName name="J1TCAC.ERVSommaire.TotPenal_1" hidden="1">#REF!</definedName>
    <definedName name="J1TCAC.ERVSommaire.TotPenal_2" hidden="1">#REF!</definedName>
    <definedName name="J1TCAC.ERVSommaire.TotRaj_1" hidden="1">#REF!</definedName>
    <definedName name="J1TCAC.ERVSommaire.TotRaj_2" hidden="1">#REF!</definedName>
    <definedName name="J1TCAP.ERVDetailInteret.Copie1_1" hidden="1">#REF!</definedName>
    <definedName name="J1TCAP.ERVDetailInteret.Copie2_1" hidden="1">#REF!</definedName>
    <definedName name="J1TCAP.ERVDetailInteret.DatDebCalc_1" hidden="1">#REF!</definedName>
    <definedName name="J1TCAP.ERVDetailInteret.DatFinCalc_1" hidden="1">#REF!</definedName>
    <definedName name="J1TCAP.ERVDetailInteret.DebutPage_1" hidden="1">#REF!</definedName>
    <definedName name="J1TCAP.ERVDetailInteret.MtInte_1" hidden="1">#REF!</definedName>
    <definedName name="J1TCAP.ERVDetailInteret.NbJour_1" hidden="1">#REF!</definedName>
    <definedName name="J1TCAP.ERVDetailInteret.PiedDeb1_1" hidden="1">#REF!</definedName>
    <definedName name="J1TCAP.ERVDetailInteret.PiedDeb2_1" hidden="1">#REF!</definedName>
    <definedName name="J1TCAP.ERVDetailInteret.PiedFin_1" hidden="1">#REF!</definedName>
    <definedName name="J1TCAP.ERVDetailInteret.SoldApresInte_1" hidden="1">#REF!</definedName>
    <definedName name="J1TCAP.ERVDetailInteret.SoldCumuReprt_1" hidden="1">#REF!</definedName>
    <definedName name="J1TCAP.ERVDetailInteret.SoldRenInt_1" hidden="1">#REF!</definedName>
    <definedName name="J1TCAP.ERVDetailInteret.TauxInteQuoti_1" hidden="1">#REF!</definedName>
    <definedName name="J1TCAP.ERVDetailInteret.TitrDebCalc_1" hidden="1">#REF!</definedName>
    <definedName name="J1TCAP.ERVDetailInteret.TitrFinCalc_1" hidden="1">#REF!</definedName>
    <definedName name="J1TCAP.ERVDetailInteret.TitrMtInt_1" hidden="1">#REF!</definedName>
    <definedName name="J1TCAP.ERVDetailInteret.TitrNbreJour_1" hidden="1">#REF!</definedName>
    <definedName name="J1TCAP.ERVDetailInteret.TitrSoldAp_1" hidden="1">#REF!</definedName>
    <definedName name="J1TCAP.ERVDetailInteret.TitrSoldAv_1" hidden="1">#REF!</definedName>
    <definedName name="J1TCAP.ERVDetailInteret.TitrSoldRenInt_1" hidden="1">#REF!</definedName>
    <definedName name="J1TCAP.ERVDetailInteret.TitrTauxQuoti_1" hidden="1">#REF!</definedName>
    <definedName name="J1TCAP.ERVDetailParFeuille.Copie1_1" hidden="1">#REF!</definedName>
    <definedName name="J1TCAP.ERVDetailParFeuille.Copie1_2" hidden="1">#REF!</definedName>
    <definedName name="J1TCAP.ERVDetailParFeuille.Copie2_1" hidden="1">#REF!</definedName>
    <definedName name="J1TCAP.ERVDetailParFeuille.Copie2_2" hidden="1">#REF!</definedName>
    <definedName name="J1TCAP.ERVDetailParFeuille.DatePenalites_1" hidden="1">#REF!</definedName>
    <definedName name="J1TCAP.ERVDetailParFeuille.DatePenalites_2" hidden="1">#REF!</definedName>
    <definedName name="J1TCAP.ERVDetailParFeuille.DebutPage_1" hidden="1">#REF!</definedName>
    <definedName name="J1TCAP.ERVDetailParFeuille.DebutPage_2" hidden="1">#REF!</definedName>
    <definedName name="J1TCAP.ERVDetailParFeuille.MessageCotSansPenInt_1" hidden="1">#REF!</definedName>
    <definedName name="J1TCAP.ERVDetailParFeuille.MessageCotSansPenInt_2" hidden="1">#REF!</definedName>
    <definedName name="J1TCAP.ERVDetailParFeuille.PiedDeb1_1" hidden="1">#REF!</definedName>
    <definedName name="J1TCAP.ERVDetailParFeuille.PiedDeb1_2" hidden="1">#REF!</definedName>
    <definedName name="J1TCAP.ERVDetailParFeuille.PiedDeb2_1" hidden="1">#REF!</definedName>
    <definedName name="J1TCAP.ERVDetailParFeuille.PiedDeb2_2" hidden="1">#REF!</definedName>
    <definedName name="J1TCAP.ERVDetailParFeuille.PiedFin_1" hidden="1">#REF!</definedName>
    <definedName name="J1TCAP.ERVDetailParFeuille.PiedFin_2" hidden="1">#REF!</definedName>
    <definedName name="J1TCAP.ERVDetailParFeuille.TotFeuil_1" hidden="1">#REF!</definedName>
    <definedName name="J1TCAP.ERVDetailParFeuille.TotFeuil_2" hidden="1">#REF!</definedName>
    <definedName name="J1TCAP.ERVDetailParFeuille.TotFeuilNonDtl_1" hidden="1">#REF!</definedName>
    <definedName name="J1TCAP.ERVDetailParFeuille.TotFeuilNonDtl_2" hidden="1">#REF!</definedName>
    <definedName name="J1TCAP.ERVDetailPenalite.Copie1_1" hidden="1">#REF!</definedName>
    <definedName name="J1TCAP.ERVDetailPenalite.Copie2_1" hidden="1">#REF!</definedName>
    <definedName name="J1TCAP.ERVDetailPenalite.DebutPage_1" hidden="1">#REF!</definedName>
    <definedName name="J1TCAP.ERVDetailPenalite.FinPer_1" hidden="1">#REF!</definedName>
    <definedName name="J1TCAP.ERVDetailPenalite.MtCtNonUtil_1" hidden="1">#REF!</definedName>
    <definedName name="J1TCAP.ERVDetailPenalite.MtRajNonPenal_1" hidden="1">#REF!</definedName>
    <definedName name="J1TCAP.ERVDetailPenalite.MtRajPenal_1" hidden="1">#REF!</definedName>
    <definedName name="J1TCAP.ERVDetailPenalite.MtSujetPenal_1" hidden="1">#REF!</definedName>
    <definedName name="J1TCAP.ERVDetailPenalite.PenalCalc_1" hidden="1">#REF!</definedName>
    <definedName name="J1TCAP.ERVDetailPenalite.PiedDeb1_1" hidden="1">#REF!</definedName>
    <definedName name="J1TCAP.ERVDetailPenalite.PiedDeb2_1" hidden="1">#REF!</definedName>
    <definedName name="J1TCAP.ERVDetailPenalite.PiedFin_1" hidden="1">#REF!</definedName>
    <definedName name="J1TCAP.ERVDetailPenalite.TauxPenal_1" hidden="1">#REF!</definedName>
    <definedName name="J1TCAP.ERVDetailPenalite.TitrFinPer_1" hidden="1">#REF!</definedName>
    <definedName name="J1TCAP.ERVDetailPenalite.TitrMtCtNonUtil_1" hidden="1">#REF!</definedName>
    <definedName name="J1TCAP.ERVDetailPenalite.TitrMtRajNonPenal_1" hidden="1">#REF!</definedName>
    <definedName name="J1TCAP.ERVDetailPenalite.TitrMtRajPenal_1" hidden="1">#REF!</definedName>
    <definedName name="J1TCAP.ERVDetailPenalite.TitrMtSujetPenal_1" hidden="1">#REF!</definedName>
    <definedName name="J1TCAP.ERVDetailPenalite.TitrPenalCalc_1" hidden="1">#REF!</definedName>
    <definedName name="J1TCAP.ERVDetailPenalite.TitrTauxPenal_1" hidden="1">#REF!</definedName>
    <definedName name="J1TCAP.ERVDetailPenalite.Tot_1" hidden="1">#REF!</definedName>
    <definedName name="J1TCAP.ERVDetailPenalite.TotPenalCalc_1" hidden="1">#REF!</definedName>
    <definedName name="J1TCAP.ERVSommaire.Copie1_1" hidden="1">#REF!</definedName>
    <definedName name="J1TCAP.ERVSommaire.Copie1_2" hidden="1">#REF!</definedName>
    <definedName name="J1TCAP.ERVSommaire.Copie2_1" hidden="1">#REF!</definedName>
    <definedName name="J1TCAP.ERVSommaire.Copie2_2" hidden="1">#REF!</definedName>
    <definedName name="J1TCAP.ERVSommaire.DatePenalites_1" hidden="1">#REF!</definedName>
    <definedName name="J1TCAP.ERVSommaire.DatePenalites_2" hidden="1">#REF!</definedName>
    <definedName name="J1TCAP.ERVSommaire.DebutPage_1" hidden="1">#REF!</definedName>
    <definedName name="J1TCAP.ERVSommaire.DebutPage_2" hidden="1">#REF!</definedName>
    <definedName name="J1TCAP.ERVSommaire.MessageCotSansPenInt_1" hidden="1">#REF!</definedName>
    <definedName name="J1TCAP.ERVSommaire.MessageCotSansPenInt_2" hidden="1">#REF!</definedName>
    <definedName name="J1TCAP.ERVSommaire.PiedDeb1_1" hidden="1">#REF!</definedName>
    <definedName name="J1TCAP.ERVSommaire.PiedDeb1_2" hidden="1">#REF!</definedName>
    <definedName name="J1TCAP.ERVSommaire.PiedDeb2_1" hidden="1">#REF!</definedName>
    <definedName name="J1TCAP.ERVSommaire.PiedDeb2_2" hidden="1">#REF!</definedName>
    <definedName name="J1TCAP.ERVSommaire.PiedFin_1" hidden="1">#REF!</definedName>
    <definedName name="J1TCAP.ERVSommaire.PiedFin_2" hidden="1">#REF!</definedName>
    <definedName name="J1TCAP.ERVSommaire.TotFeuil_1" hidden="1">#REF!</definedName>
    <definedName name="J1TCAP.ERVSommaire.TotFeuil_2" hidden="1">#REF!</definedName>
    <definedName name="J1TCAP.ERVSommaire.TotFeuilNonDtl_1" hidden="1">#REF!</definedName>
    <definedName name="J1TCAP.ERVSommaire.TotFeuilNonDtl_2" hidden="1">#REF!</definedName>
    <definedName name="Ja" hidden="1">{#N/A,#N/A,FALSE,"RGD$";#N/A,#N/A,FALSE,"BG$";#N/A,#N/A,FALSE,"FC$"}</definedName>
    <definedName name="jbbbbbbbbbbbbbbbbbb" hidden="1">{"det (May)",#N/A,FALSE,"June";"sum (MAY YTD)",#N/A,FALSE,"June YTD"}</definedName>
    <definedName name="jdfjewf" hidden="1">{#N/A,#N/A,FALSE,"지침";#N/A,#N/A,FALSE,"환경분석";#N/A,#N/A,FALSE,"Sheet16"}</definedName>
    <definedName name="jdjytdj" hidden="1">{"det (May)",#N/A,FALSE,"June";"sum (MAY YTD)",#N/A,FALSE,"June YTD"}</definedName>
    <definedName name="JDSUYUY" hidden="1">{"RESUMEN",#N/A,FALSE,"RESUMEN";"RESUMEN_MARG",#N/A,FALSE,"RESUMEN"}</definedName>
    <definedName name="jedna" hidden="1">{"det (May)",#N/A,FALSE,"June";"sum (MAY YTD)",#N/A,FALSE,"June YTD"}</definedName>
    <definedName name="jeeeeeeeeeeeeeee" hidden="1">{"det (May)",#N/A,FALSE,"June";"sum (MAY YTD)",#N/A,FALSE,"June YTD"}</definedName>
    <definedName name="JeffD" hidden="1">{"Prenissas",#N/A,FALSE,"Consolidado (3)";"Lucros000",#N/A,FALSE,"Consolidado (3)";"LucrosHL",#N/A,FALSE,"Consolidado (3)";"Balanco",#N/A,FALSE,"Consolidado (3)";"FluxoC",#N/A,FALSE,"Consolidado (3)"}</definedName>
    <definedName name="jgfhju" hidden="1">{"det (May)",#N/A,FALSE,"June";"sum (MAY YTD)",#N/A,FALSE,"June YTD"}</definedName>
    <definedName name="jghgg" hidden="1">{#N/A,#N/A,FALSE,"P.L.Full";#N/A,#N/A,FALSE,"P.L.Desc."}</definedName>
    <definedName name="jgtyyt" hidden="1">{#N/A,#N/A,FALSE,"Hoja1";#N/A,#N/A,FALSE,"Hoja2"}</definedName>
    <definedName name="jhgf" hidden="1">{"RESUMEN",#N/A,FALSE,"RESUMEN";"RESUMEN_MARG",#N/A,FALSE,"RESUMEN"}</definedName>
    <definedName name="jhgjhg" hidden="1">{"det (May)",#N/A,FALSE,"June";"sum (MAY YTD)",#N/A,FALSE,"June YTD"}</definedName>
    <definedName name="jhkhjk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IJIJ" hidden="1">{#N/A,#N/A,FALSE,"RGD$";#N/A,#N/A,FALSE,"BG$";#N/A,#N/A,FALSE,"FC$"}</definedName>
    <definedName name="jijuiu" hidden="1">{"det (May)",#N/A,FALSE,"June";"sum (MAY YTD)",#N/A,FALSE,"June YTD"}</definedName>
    <definedName name="Jim" hidden="1">{#N/A,#N/A,FALSE,"L&amp;M Performance";#N/A,#N/A,FALSE,"Brand Performance";#N/A,#N/A,FALSE,"Marlboro Performance"}</definedName>
    <definedName name="jimmy" hidden="1">{#N/A,#N/A,FALSE,"L&amp;M Performance";#N/A,#N/A,FALSE,"Brand Performance";#N/A,#N/A,FALSE,"Marlboro Performance"}</definedName>
    <definedName name="jj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jjg" hidden="1">{#N/A,#N/A,FALSE,"RGD$";#N/A,#N/A,FALSE,"BG$";#N/A,#N/A,FALSE,"FC$"}</definedName>
    <definedName name="JJJJJJJ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jjjjjjjjjjj" hidden="1">{"'cua 42'!$A$1:$O$40"}</definedName>
    <definedName name="jjjjjjjjjjjjj" hidden="1">{"det (May)",#N/A,FALSE,"June";"sum (MAY YTD)",#N/A,FALSE,"June YTD"}</definedName>
    <definedName name="jjjjjjjjjjjjjj" hidden="1">{"det (May)",#N/A,FALSE,"June";"sum (MAY YTD)",#N/A,FALSE,"June YTD"}</definedName>
    <definedName name="jjjjjjjjjjjjjjj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jjjjjjjjjjjjjjjjjjjjjjjjj" hidden="1">{"det (May)",#N/A,FALSE,"June";"sum (MAY YTD)",#N/A,FALSE,"June YTD"}</definedName>
    <definedName name="JJUJSD" hidden="1">{#N/A,#N/A,FALSE,"RGD$";#N/A,#N/A,FALSE,"BG$";#N/A,#N/A,FALSE,"FC$"}</definedName>
    <definedName name="jk" hidden="1">{"Cons_Occ_Lar",#N/A,FALSE,"márgenes";"Cen_met",#N/A,FALSE,"márgenes";"Ori_pl",#N/A,FALSE,"márgenes"}</definedName>
    <definedName name="jkgjkgh" hidden="1">{"det (May)",#N/A,FALSE,"June";"sum (MAY YTD)",#N/A,FALSE,"June YTD"}</definedName>
    <definedName name="jkh" hidden="1">{"CAP VOL",#N/A,FALSE,"CAPITAL";"CAP VAR",#N/A,FALSE,"CAPITAL";"CAP FIJ",#N/A,FALSE,"CAPITAL";"CAP CONS",#N/A,FALSE,"CAPITAL";"CAP DATA",#N/A,FALSE,"CAPITAL"}</definedName>
    <definedName name="jkhç" hidden="1">{"Real",#N/A,FALSE,"CONSOLIDADO";"Real",#N/A,FALSE,"OCCIDENTE";"Real",#N/A,FALSE,"LARA";"Real",#N/A,FALSE,"CENTRO";"Real",#N/A,FALSE,"METROPOLITANA";"Real",#N/A,FALSE,"ORIENTE";"Real",#N/A,FALSE,"Pto.libre"}</definedName>
    <definedName name="jkj" hidden="1">{#N/A,#N/A,FALSE,"PRECIO FULL";#N/A,#N/A,FALSE,"LARA";#N/A,#N/A,FALSE,"CARACAS";#N/A,#N/A,FALSE,"DISBRACENTRO";#N/A,#N/A,FALSE,"ANDES";#N/A,#N/A,FALSE,"MAR CARIBE";#N/A,#N/A,FALSE,"RIO BEER";#N/A,#N/A,FALSE,"DISBRAH"}</definedName>
    <definedName name="jkja" hidden="1">{"CAP VOL",#N/A,FALSE,"CAPITAL";"CAP VAR",#N/A,FALSE,"CAPITAL";"CAP FIJ",#N/A,FALSE,"CAPITAL";"CAP CONS",#N/A,FALSE,"CAPITAL";"CAP DATA",#N/A,FALSE,"CAPITAL"}</definedName>
    <definedName name="JKJJKJK" hidden="1">{#N/A,#N/A,FALSE,"RGD$";#N/A,#N/A,FALSE,"BG$";#N/A,#N/A,FALSE,"FC$"}</definedName>
    <definedName name="jkjk" hidden="1">{#N/A,#N/A,FALSE,"PRECIO FULL";#N/A,#N/A,FALSE,"LARA";#N/A,#N/A,FALSE,"CARACAS";#N/A,#N/A,FALSE,"DISBRACENTRO";#N/A,#N/A,FALSE,"ANDES";#N/A,#N/A,FALSE,"MAR CARIBE";#N/A,#N/A,FALSE,"RIO BEER";#N/A,#N/A,FALSE,"DISBRAH"}</definedName>
    <definedName name="JKJKJ" hidden="1">{"Cons_Occ_Lar",#N/A,FALSE,"márgenes";"Cen_met",#N/A,FALSE,"márgenes";"Ori_pl",#N/A,FALSE,"márgenes"}</definedName>
    <definedName name="JKJKLJ" hidden="1">{"Real",#N/A,FALSE,"CONSOLIDADO";"Real",#N/A,FALSE,"OCCIDENTE";"Real",#N/A,FALSE,"LARA";"Real",#N/A,FALSE,"CENTRO";"Real",#N/A,FALSE,"METROPOLITANA";"Real",#N/A,FALSE,"ORIENTE";"Real",#N/A,FALSE,"Pto.libre"}</definedName>
    <definedName name="jkkjh" hidden="1">{"'Server Configuration'!$A$1:$DB$281"}</definedName>
    <definedName name="jkljlk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jkma" hidden="1">{"Cons_Occ_Lar",#N/A,FALSE,"márgenes";"Cen_met",#N/A,FALSE,"márgenes";"Ori_pl",#N/A,FALSE,"márgenes"}</definedName>
    <definedName name="jljl" hidden="1">{"det (May)",#N/A,FALSE,"June";"sum (MAY YTD)",#N/A,FALSE,"June YTD"}</definedName>
    <definedName name="jljljljl" hidden="1">{"det (May)",#N/A,FALSE,"June";"sum (MAY YTD)",#N/A,FALSE,"June YTD"}</definedName>
    <definedName name="jljlx" hidden="1">{"det (May)",#N/A,FALSE,"June";"sum (MAY YTD)",#N/A,FALSE,"June YTD"}</definedName>
    <definedName name="jonathan" hidden="1">{"det (May)",#N/A,FALSE,"June";"sum (MAY YTD)",#N/A,FALSE,"June YTD"}</definedName>
    <definedName name="jppmpñ" hidden="1">{"'cua 42'!$A$1:$O$40"}</definedName>
    <definedName name="JUJD" hidden="1">{"Cons_Occ_Lar",#N/A,FALSE,"márgenes";"Cen_met",#N/A,FALSE,"márgenes";"Ori_pl",#N/A,FALSE,"márgenes"}</definedName>
    <definedName name="jul" hidden="1">{"'Hoja1'!$A$1:$K$32"}</definedName>
    <definedName name="JULIETA" hidden="1">{#N/A,#N/A,FALSE,"Hoja1";#N/A,#N/A,FALSE,"Hoja2"}</definedName>
    <definedName name="JUYH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k" hidden="1">{"det (May)",#N/A,FALSE,"June";"sum (MAY YTD)",#N/A,FALSE,"June YTD"}</definedName>
    <definedName name="kbid" hidden="1">{"PRICE",#N/A,FALSE,"PRICE VAR"}</definedName>
    <definedName name="kdibm" hidden="1">{"REPORT100",#N/A,FALSE,"100 &amp; 110"}</definedName>
    <definedName name="KDKDKD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KDSJKJ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kegs" hidden="1">{"det (May)",#N/A,FALSE,"June";"sum (MAY YTD)",#N/A,FALSE,"June YTD"}</definedName>
    <definedName name="kegsx" hidden="1">{"det (May)",#N/A,FALSE,"June";"sum (MAY YTD)",#N/A,FALSE,"June YTD"}</definedName>
    <definedName name="kevin" hidden="1">{#N/A,#N/A,FALSE,"Assessment";#N/A,#N/A,FALSE,"Staffing";#N/A,#N/A,FALSE,"Hires";#N/A,#N/A,FALSE,"Assumptions"}</definedName>
    <definedName name="kht" hidden="1">{"Real",#N/A,FALSE,"CONSOLIDADO";"Real",#N/A,FALSE,"OCCIDENTE";"Real",#N/A,FALSE,"LARA";"Real",#N/A,FALSE,"CENTRO";"Real",#N/A,FALSE,"METROPOLITANA";"Real",#N/A,FALSE,"ORIENTE";"Real",#N/A,FALSE,"Pto.libre"}</definedName>
    <definedName name="kibmb" hidden="1">{"MFG COGS",#N/A,FALSE,"MFG COGS";"MFGCOGS ESTIMATES",#N/A,FALSE,"MFG COGS"}</definedName>
    <definedName name="kiby\" hidden="1">{"JOBCOGS",#N/A,FALSE,"JOB COGS";"JOBHIST",#N/A,FALSE,"JOB COGS"}</definedName>
    <definedName name="kik" hidden="1">{"Cons_Occ_Lar",#N/A,FALSE,"márgenes";"Cen_met",#N/A,FALSE,"márgenes";"Ori_pl",#N/A,FALSE,"márgenes"}</definedName>
    <definedName name="kim" hidden="1">{"CONSOL",#N/A,FALSE,"CONSOLIDATION"}</definedName>
    <definedName name="kimb" hidden="1">{"EXCH HIST",#N/A,FALSE,"EXCHANGE VAR";"RATES",#N/A,FALSE,"EXCHANGE VAR"}</definedName>
    <definedName name="kimbmb" hidden="1">{"MFGVAR",#N/A,FALSE,"MFG VAR"}</definedName>
    <definedName name="kiojk" hidden="1">{"det (May)",#N/A,FALSE,"June";"sum (MAY YTD)",#N/A,FALSE,"June YTD"}</definedName>
    <definedName name="KJ" hidden="1">{#N/A,#N/A,FALSE,"지침";#N/A,#N/A,FALSE,"환경분석";#N/A,#N/A,FALSE,"Sheet16"}</definedName>
    <definedName name="KJJKJKJ" hidden="1">{"RESUMEN",#N/A,FALSE,"RESUMEN";"RESUMEN_MARG",#N/A,FALSE,"RESUMEN"}</definedName>
    <definedName name="kjk" hidden="1">#REF!</definedName>
    <definedName name="KJKJKJ" hidden="1">{"Real",#N/A,FALSE,"CONSOLIDADO";"Real",#N/A,FALSE,"OCCIDENTE";"Real",#N/A,FALSE,"LARA";"Real",#N/A,FALSE,"CENTRO";"Real",#N/A,FALSE,"METROPOLITANA";"Real",#N/A,FALSE,"ORIENTE";"Real",#N/A,FALSE,"Pto.libre"}</definedName>
    <definedName name="KJKK" hidden="1">{"RESUMEN",#N/A,FALSE,"RESUMEN";"RESUMEN_MARG",#N/A,FALSE,"RESUMEN"}</definedName>
    <definedName name="KJLKJL" hidden="1">{"CAP VOL",#N/A,FALSE,"CAPITAL";"CAP VAR",#N/A,FALSE,"CAPITAL";"CAP FIJ",#N/A,FALSE,"CAPITAL";"CAP CONS",#N/A,FALSE,"CAPITAL";"CAP DATA",#N/A,FALSE,"CAPITAL"}</definedName>
    <definedName name="kk" hidden="1">{"det (May)",#N/A,FALSE,"June";"sum (MAY YTD)",#N/A,FALSE,"June YTD"}</definedName>
    <definedName name="kkjkjkjkjuh" hidden="1">{"det (May)",#N/A,FALSE,"June";"sum (MAY YTD)",#N/A,FALSE,"June YTD"}</definedName>
    <definedName name="kkk" hidden="1">{"Real",#N/A,FALSE,"CONSOLIDADO";"Real",#N/A,FALSE,"OCCIDENTE";"Real",#N/A,FALSE,"LARA";"Real",#N/A,FALSE,"CENTRO";"Real",#N/A,FALSE,"METROPOLITANA";"Real",#N/A,FALSE,"ORIENTE";"Real",#N/A,FALSE,"Pto.libre"}</definedName>
    <definedName name="kkkk" hidden="1">{#N/A,#N/A,FALSE,"ROTINA";#N/A,#N/A,FALSE,"ITENS";#N/A,#N/A,FALSE,"ACOMP"}</definedName>
    <definedName name="kkkkkkkio" hidden="1">{"det (May)",#N/A,FALSE,"June";"sum (MAY YTD)",#N/A,FALSE,"June YTD"}</definedName>
    <definedName name="KKLKLK" hidden="1">{#N/A,#N/A,FALSE,"PRECIO FULL";#N/A,#N/A,FALSE,"LARA";#N/A,#N/A,FALSE,"CARACAS";#N/A,#N/A,FALSE,"DISBRACENTRO";#N/A,#N/A,FALSE,"ANDES";#N/A,#N/A,FALSE,"MAR CARIBE";#N/A,#N/A,FALSE,"RIO BEER";#N/A,#N/A,FALSE,"DISBRAH"}</definedName>
    <definedName name="kklm" hidden="1">{"det (May)",#N/A,FALSE,"June";"sum (MAY YTD)",#N/A,FALSE,"June YTD"}</definedName>
    <definedName name="kklñk" hidden="1">{#N/A,#N/A,FALSE,"RGD$";#N/A,#N/A,FALSE,"BG$";#N/A,#N/A,FALSE,"FC$"}</definedName>
    <definedName name="kl" hidden="1">{"det (May)",#N/A,FALSE,"June";"sum (MAY YTD)",#N/A,FALSE,"June YTD"}</definedName>
    <definedName name="klj" hidden="1">{"CAP VOL",#N/A,FALSE,"CAPITAL";"CAP VAR",#N/A,FALSE,"CAPITAL";"CAP FIJ",#N/A,FALSE,"CAPITAL";"CAP CONS",#N/A,FALSE,"CAPITAL";"CAP DATA",#N/A,FALSE,"CAPITAL"}</definedName>
    <definedName name="kljlklj" hidden="1">{"det (May)",#N/A,FALSE,"June";"sum (MAY YTD)",#N/A,FALSE,"June YTD"}</definedName>
    <definedName name="KLK" hidden="1">{"Real",#N/A,FALSE,"CONSOLIDADO";"Real",#N/A,FALSE,"OCCIDENTE";"Real",#N/A,FALSE,"LARA";"Real",#N/A,FALSE,"CENTRO";"Real",#N/A,FALSE,"METROPOLITANA";"Real",#N/A,FALSE,"ORIENTE";"Real",#N/A,FALSE,"Pto.libre"}</definedName>
    <definedName name="klka" hidden="1">{"Real",#N/A,FALSE,"CONSOLIDADO";"Real",#N/A,FALSE,"OCCIDENTE";"Real",#N/A,FALSE,"LARA";"Real",#N/A,FALSE,"CENTRO";"Real",#N/A,FALSE,"METROPOLITANA";"Real",#N/A,FALSE,"ORIENTE";"Real",#N/A,FALSE,"Pto.libre"}</definedName>
    <definedName name="KLKL" hidden="1">{"Real",#N/A,FALSE,"CONSOLIDADO";"Real",#N/A,FALSE,"OCCIDENTE";"Real",#N/A,FALSE,"LARA";"Real",#N/A,FALSE,"CENTRO";"Real",#N/A,FALSE,"METROPOLITANA";"Real",#N/A,FALSE,"ORIENTE";"Real",#N/A,FALSE,"Pto.libre"}</definedName>
    <definedName name="KLKLK" hidden="1">{"Cons_Occ_Lar",#N/A,FALSE,"márgenes";"Cen_met",#N/A,FALSE,"márgenes";"Ori_pl",#N/A,FALSE,"márgenes"}</definedName>
    <definedName name="KLKLKK" hidden="1">{#N/A,#N/A,FALSE,"RGD$";#N/A,#N/A,FALSE,"BG$";#N/A,#N/A,FALSE,"FC$"}</definedName>
    <definedName name="KLKLKL" hidden="1">{"CAP VOL",#N/A,FALSE,"CAPITAL";"CAP VAR",#N/A,FALSE,"CAPITAL";"CAP FIJ",#N/A,FALSE,"CAPITAL";"CAP CONS",#N/A,FALSE,"CAPITAL";"CAP DATA",#N/A,FALSE,"CAPITAL"}</definedName>
    <definedName name="klllkjj" hidden="1">{"det (May)",#N/A,FALSE,"June";"sum (MAY YTD)",#N/A,FALSE,"June YTD"}</definedName>
    <definedName name="kllllllllll" hidden="1">{"det (May)",#N/A,FALSE,"June";"sum (MAY YTD)",#N/A,FALSE,"June YTD"}</definedName>
    <definedName name="klñka" hidden="1">{#N/A,#N/A,FALSE,"RGD$";#N/A,#N/A,FALSE,"BG$";#N/A,#N/A,FALSE,"FC$"}</definedName>
    <definedName name="kodak" hidden="1">{"REPORT100",#N/A,FALSE,"100 &amp; 110"}</definedName>
    <definedName name="kodakrjs" hidden="1">{"MFG COGS",#N/A,FALSE,"MFG COGS";"MFGCOGS ESTIMATES",#N/A,FALSE,"MFG COGS"}</definedName>
    <definedName name="KPI" hidden="1">{#N/A,#N/A,FALSE,"지침";#N/A,#N/A,FALSE,"환경분석";#N/A,#N/A,FALSE,"Sheet16"}</definedName>
    <definedName name="kx" hidden="1">{"det (May)",#N/A,FALSE,"June";"sum (MAY YTD)",#N/A,FALSE,"June YTD"}</definedName>
    <definedName name="LAURA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aura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LDLKLKLKL" hidden="1">{"Real",#N/A,FALSE,"CONSOLIDADO";"Real",#N/A,FALSE,"OCCIDENTE";"Real",#N/A,FALSE,"LARA";"Real",#N/A,FALSE,"CENTRO";"Real",#N/A,FALSE,"METROPOLITANA";"Real",#N/A,FALSE,"ORIENTE";"Real",#N/A,FALSE,"Pto.libre"}</definedName>
    <definedName name="LEE" hidden="1">{"det (May)",#N/A,FALSE,"June";"sum (MAY YTD)",#N/A,FALSE,"June YTD"}</definedName>
    <definedName name="lhiu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i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imcount" hidden="1">1</definedName>
    <definedName name="LIOOO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jk" hidden="1">{"total",#N/A,FALSE,"TOTAL $";"totalhl",#N/A,FALSE,"TOTAL $HL";"vol",#N/A,FALSE,"VOLUMEN";"xprod1",#N/A,FALSE,"X PROD";"xprod2",#N/A,FALSE,"X PROD";"finaño1",#N/A,FALSE,"FIN AÑO Meta";"finaño2",#N/A,FALSE,"FIN AÑO Meta"}</definedName>
    <definedName name="lk" hidden="1">{#N/A,#N/A,FALSE,"PRECIO FULL";#N/A,#N/A,FALSE,"LARA";#N/A,#N/A,FALSE,"CARACAS";#N/A,#N/A,FALSE,"DISBRACENTRO";#N/A,#N/A,FALSE,"ANDES";#N/A,#N/A,FALSE,"MAR CARIBE";#N/A,#N/A,FALSE,"RIO BEER";#N/A,#N/A,FALSE,"DISBRAH"}</definedName>
    <definedName name="lkjh" hidden="1">{"RESUMEN",#N/A,FALSE,"RESUMEN";"RESUMEN_MARG",#N/A,FALSE,"RESUMEN"}</definedName>
    <definedName name="lkjk" hidden="1">{"bs",#N/A,FALSE,"Consolidado";"cf",#N/A,FALSE,"Consolidado";"pl_hl",#N/A,FALSE,"Consolidado";"pl_us",#N/A,FALSE,"Consolidado";"Prem1",#N/A,FALSE,"Consolidado"}</definedName>
    <definedName name="LKJL" hidden="1">{#N/A,#N/A,FALSE,"FINAL"}</definedName>
    <definedName name="lkjlkj" hidden="1">{#N/A,#N/A,FALSE,"RGD$";#N/A,#N/A,FALSE,"BG$";#N/A,#N/A,FALSE,"FC$"}</definedName>
    <definedName name="lkjp" hidden="1">'[13]dep pre'!#REF!</definedName>
    <definedName name="LKKKL" hidden="1">{"Cons_Occ_Lar",#N/A,FALSE,"márgenes";"Cen_met",#N/A,FALSE,"márgenes";"Ori_pl",#N/A,FALSE,"márgenes"}</definedName>
    <definedName name="lkl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LKLK" hidden="1">{#N/A,#N/A,FALSE,"RGD$";#N/A,#N/A,FALSE,"BG$";#N/A,#N/A,FALSE,"FC$"}</definedName>
    <definedName name="LKLKLKL" hidden="1">{"RESUMEN",#N/A,FALSE,"RESUMEN";"RESUMEN_MARG",#N/A,FALSE,"RESUMEN"}</definedName>
    <definedName name="lklñ" hidden="1">{"RESUMEN",#N/A,FALSE,"RESUMEN";"RESUMEN_MARG",#N/A,FALSE,"RESUMEN"}</definedName>
    <definedName name="lkñlk" hidden="1">{#N/A,#N/A,FALSE,"RGD$";#N/A,#N/A,FALSE,"BG$";#N/A,#N/A,FALSE,"FC$"}</definedName>
    <definedName name="lks" hidden="1">{#N/A,#N/A,FALSE,"RGD$";#N/A,#N/A,FALSE,"BG$";#N/A,#N/A,FALSE,"FC$"}</definedName>
    <definedName name="LL" hidden="1">{"RESUMEN",#N/A,FALSE,"RESUMEN";"RESUMEN_MARG",#N/A,FALSE,"RESUMEN"}</definedName>
    <definedName name="LLD" hidden="1">{"Cons_Occ_Lar",#N/A,FALSE,"márgenes";"Cen_met",#N/A,FALSE,"márgenes";"Ori_pl",#N/A,FALSE,"márgenes"}</definedName>
    <definedName name="LLIIID" hidden="1">{#N/A,#N/A,FALSE,"PRECIO FULL";#N/A,#N/A,FALSE,"LARA";#N/A,#N/A,FALSE,"CARACAS";#N/A,#N/A,FALSE,"DISBRACENTRO";#N/A,#N/A,FALSE,"ANDES";#N/A,#N/A,FALSE,"MAR CARIBE";#N/A,#N/A,FALSE,"RIO BEER";#N/A,#N/A,FALSE,"DISBRAH"}</definedName>
    <definedName name="LLKKL" hidden="1">{"Real",#N/A,FALSE,"CONSOLIDADO";"Real",#N/A,FALSE,"OCCIDENTE";"Real",#N/A,FALSE,"LARA";"Real",#N/A,FALSE,"CENTRO";"Real",#N/A,FALSE,"METROPOLITANA";"Real",#N/A,FALSE,"ORIENTE";"Real",#N/A,FALSE,"Pto.libre"}</definedName>
    <definedName name="lll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lllllllllllllllllllllll" hidden="1">{"det (May)",#N/A,FALSE,"June";"sum (MAY YTD)",#N/A,FALSE,"June YTD"}</definedName>
    <definedName name="LLÑLÑL" hidden="1">{#N/A,#N/A,FALSE,"RGD$";#N/A,#N/A,FALSE,"BG$";#N/A,#N/A,FALSE,"FC$"}</definedName>
    <definedName name="llsa" hidden="1">{"RESUMEN",#N/A,FALSE,"RESUMEN";"RESUMEN_MARG",#N/A,FALSE,"RESUMEN"}</definedName>
    <definedName name="lml" hidden="1">{"det (May)",#N/A,FALSE,"June";"sum (MAY YTD)",#N/A,FALSE,"June YTD"}</definedName>
    <definedName name="lñklñk" hidden="1">{"CAP VOL",#N/A,FALSE,"CAPITAL";"CAP VAR",#N/A,FALSE,"CAPITAL";"CAP FIJ",#N/A,FALSE,"CAPITAL";"CAP CONS",#N/A,FALSE,"CAPITAL";"CAP DATA",#N/A,FALSE,"CAPITAL"}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ActuaryData_FooterType" hidden="1">"NONE"</definedName>
    <definedName name="LOFD" hidden="1">{"RESUMEN",#N/A,FALSE,"RESUMEN";"RESUMEN_MARG",#N/A,FALSE,"RESUMEN"}</definedName>
    <definedName name="los" hidden="1">{"Real",#N/A,FALSE,"CONSOLIDADO";"Real",#N/A,FALSE,"OCCIDENTE";"Real",#N/A,FALSE,"LARA";"Real",#N/A,FALSE,"CENTRO";"Real",#N/A,FALSE,"METROPOLITANA";"Real",#N/A,FALSE,"ORIENTE";"Real",#N/A,FALSE,"Pto.libre"}</definedName>
    <definedName name="lou" hidden="1">{#N/A,#N/A,FALSE,"RGD$";#N/A,#N/A,FALSE,"BG$";#N/A,#N/A,FALSE,"FC$"}</definedName>
    <definedName name="LuxembourgByEntity_FooterType" hidden="1">"EXTERNAL"</definedName>
    <definedName name="m" hidden="1">{"det (May)",#N/A,FALSE,"June";"sum (MAY YTD)",#N/A,FALSE,"June YTD"}</definedName>
    <definedName name="M_PlaceofPath" hidden="1">"\\SNYCEQT0100\HOME\LZURLO\DATA\TELMEX\Models\tmx_vdf.xls"</definedName>
    <definedName name="MARF2007" hidden="1">{#N/A,#N/A,FALSE,"BEER";#N/A,#N/A,FALSE,"WEST"}</definedName>
    <definedName name="Maria" hidden="1">{"CONSOL",#N/A,FALSE,"CONSOLIDATION"}</definedName>
    <definedName name="Memoria" hidden="1">{"CAP VOL",#N/A,FALSE,"CAPITAL";"CAP VAR",#N/A,FALSE,"CAPITAL";"CAP FIJ",#N/A,FALSE,"CAPITAL";"CAP CONS",#N/A,FALSE,"CAPITAL";"CAP DATA",#N/A,FALSE,"CAPITAL"}</definedName>
    <definedName name="MIVIVIENDA" hidden="1">[15]Asfalto!$T$7:$U$8</definedName>
    <definedName name="mkoi" hidden="1">{"det (May)",#N/A,FALSE,"June";"sum (MAY YTD)",#N/A,FALSE,"June YTD"}</definedName>
    <definedName name="mktg" hidden="1">{#N/A,#N/A,FALSE,"지침";#N/A,#N/A,FALSE,"환경분석";#N/A,#N/A,FALSE,"Sheet16"}</definedName>
    <definedName name="mm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mmm" hidden="1">{"det (May)",#N/A,FALSE,"June";"sum (MAY YTD)",#N/A,FALSE,"June YTD"}</definedName>
    <definedName name="mmml" hidden="1">{"det (May)",#N/A,FALSE,"June";"sum (MAY YTD)",#N/A,FALSE,"June YTD"}</definedName>
    <definedName name="mmmm" hidden="1">{"det (May)",#N/A,FALSE,"June";"sum (MAY YTD)",#N/A,FALSE,"June YTD"}</definedName>
    <definedName name="mmmmm" hidden="1">{"det (May)",#N/A,FALSE,"June";"sum (MAY YTD)",#N/A,FALSE,"June YTD"}</definedName>
    <definedName name="mmmmmm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mmmmmmm" hidden="1">{"det (May)",#N/A,FALSE,"June";"sum (MAY YTD)",#N/A,FALSE,"June YTD"}</definedName>
    <definedName name="mmmmmmmmmmmmmmmmm" hidden="1">{"det (May)",#N/A,FALSE,"June";"sum (MAY YTD)",#N/A,FALSE,"June YTD"}</definedName>
    <definedName name="mnak9" hidden="1">{#N/A,#N/A,FALSE,"RGD$";#N/A,#N/A,FALSE,"BG$";#N/A,#N/A,FALSE,"FC$"}</definedName>
    <definedName name="mñlk" hidden="1">{"CAP VOL",#N/A,FALSE,"CAPITAL";"CAP VAR",#N/A,FALSE,"CAPITAL";"CAP FIJ",#N/A,FALSE,"CAPITAL";"CAP CONS",#N/A,FALSE,"CAPITAL";"CAP DATA",#N/A,FALSE,"CAPITAL"}</definedName>
    <definedName name="MNMNM" hidden="1">{#N/A,#N/A,FALSE,"PRECIO FULL";#N/A,#N/A,FALSE,"LARA";#N/A,#N/A,FALSE,"CARACAS";#N/A,#N/A,FALSE,"DISBRACENTRO";#N/A,#N/A,FALSE,"ANDES";#N/A,#N/A,FALSE,"MAR CARIBE";#N/A,#N/A,FALSE,"RIO BEER";#N/A,#N/A,FALSE,"DISBRAH"}</definedName>
    <definedName name="model_date">MODELO!$H$12</definedName>
    <definedName name="mttom" hidden="1">{"'171'!$A$1:$Z$50"}</definedName>
    <definedName name="N">{#N/A,#N/A,FALSE,"Hoja1";#N/A,#N/A,FALSE,"Hoja2"}</definedName>
    <definedName name="ñ" hidden="1">{"RESUMEN",#N/A,FALSE,"RESUMEN";"RESUMEN_MARG",#N/A,FALSE,"RESUMEN"}</definedName>
    <definedName name="naoa" hidden="1">{"RESUMEN",#N/A,FALSE,"RESUMEN";"RESUMEN_MARG",#N/A,FALSE,"RESUMEN"}</definedName>
    <definedName name="napa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napa2" hidden="1">{"CAP VOL",#N/A,FALSE,"CAPITAL";"CAP VAR",#N/A,FALSE,"CAPITAL";"CAP FIJ",#N/A,FALSE,"CAPITAL";"CAP CONS",#N/A,FALSE,"CAPITAL";"CAP DATA",#N/A,FALSE,"CAPITAL"}</definedName>
    <definedName name="napa3" hidden="1">{"Cons_Occ_Lar",#N/A,FALSE,"márgenes";"Cen_met",#N/A,FALSE,"márgenes";"Ori_pl",#N/A,FALSE,"márgenes"}</definedName>
    <definedName name="napa4" hidden="1">{"CAP VOL",#N/A,FALSE,"CAPITAL";"CAP VAR",#N/A,FALSE,"CAPITAL";"CAP FIJ",#N/A,FALSE,"CAPITAL";"CAP CONS",#N/A,FALSE,"CAPITAL";"CAP DATA",#N/A,FALSE,"CAPITAL"}</definedName>
    <definedName name="napa5" hidden="1">{"Cons_Occ_Lar",#N/A,FALSE,"márgenes";"Cen_met",#N/A,FALSE,"márgenes";"Ori_pl",#N/A,FALSE,"márgenes"}</definedName>
    <definedName name="napa6" hidden="1">{"Real",#N/A,FALSE,"CONSOLIDADO";"Real",#N/A,FALSE,"OCCIDENTE";"Real",#N/A,FALSE,"LARA";"Real",#N/A,FALSE,"CENTRO";"Real",#N/A,FALSE,"METROPOLITANA";"Real",#N/A,FALSE,"ORIENTE";"Real",#N/A,FALSE,"Pto.libre"}</definedName>
    <definedName name="napa7" hidden="1">{#N/A,#N/A,FALSE,"PRECIO FULL";#N/A,#N/A,FALSE,"LARA";#N/A,#N/A,FALSE,"CARACAS";#N/A,#N/A,FALSE,"DISBRACENTRO";#N/A,#N/A,FALSE,"ANDES";#N/A,#N/A,FALSE,"MAR CARIBE";#N/A,#N/A,FALSE,"RIO BEER";#N/A,#N/A,FALSE,"DISBRAH"}</definedName>
    <definedName name="napa9" hidden="1">{"RESUMEN",#N/A,FALSE,"RESUMEN";"RESUMEN_MARG",#N/A,FALSE,"RESUMEN"}</definedName>
    <definedName name="nbbnt" hidden="1">{#N/A,#N/A,FALSE,"Hoja1";#N/A,#N/A,FALSE,"Hoja2"}</definedName>
    <definedName name="nbnbhgfg" hidden="1">{#N/A,#N/A,FALSE,"Hoja1";#N/A,#N/A,FALSE,"Hoja2"}</definedName>
    <definedName name="nbngfhgh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nema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NetherlandsByEntity_FooterType" hidden="1">"EXTERNAL"</definedName>
    <definedName name="ngfnggnhd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nhnhngfn" hidden="1">{"det (May)",#N/A,FALSE,"June";"sum (MAY YTD)",#N/A,FALSE,"June YTD"}</definedName>
    <definedName name="njnj" hidden="1">{"det (May)",#N/A,FALSE,"June";"sum (MAY YTD)",#N/A,FALSE,"June YTD"}</definedName>
    <definedName name="nkk" hidden="1">{#N/A,#N/A,FALSE,"TOTAL"}</definedName>
    <definedName name="ÑKSKLKL" hidden="1">{"CAP VOL",#N/A,FALSE,"CAPITAL";"CAP VAR",#N/A,FALSE,"CAPITAL";"CAP FIJ",#N/A,FALSE,"CAPITAL";"CAP CONS",#N/A,FALSE,"CAPITAL";"CAP DATA",#N/A,FALSE,"CAPITAL"}</definedName>
    <definedName name="ÑL" hidden="1">{"Real",#N/A,FALSE,"CONSOLIDADO";"Real",#N/A,FALSE,"OCCIDENTE";"Real",#N/A,FALSE,"LARA";"Real",#N/A,FALSE,"CENTRO";"Real",#N/A,FALSE,"METROPOLITANA";"Real",#N/A,FALSE,"ORIENTE";"Real",#N/A,FALSE,"Pto.libre"}</definedName>
    <definedName name="nn" hidden="1">{"det (May)",#N/A,FALSE,"June";"sum (MAY YTD)",#N/A,FALSE,"June YTD"}</definedName>
    <definedName name="ññ" hidden="1">{"Cons_Occ_Lar",#N/A,FALSE,"márgenes";"Cen_met",#N/A,FALSE,"márgenes";"Ori_pl",#N/A,FALSE,"márgenes"}</definedName>
    <definedName name="ñññ" hidden="1">{"RESUMEN",#N/A,FALSE,"RESUMEN";"RESUMEN_MARG",#N/A,FALSE,"RESUMEN"}</definedName>
    <definedName name="ññññ" hidden="1">{"CAP VOL",#N/A,FALSE,"CAPITAL";"CAP VAR",#N/A,FALSE,"CAPITAL";"CAP FIJ",#N/A,FALSE,"CAPITAL";"CAP CONS",#N/A,FALSE,"CAPITAL";"CAP DATA",#N/A,FALSE,"CAPITAL"}</definedName>
    <definedName name="nnnnj" hidden="1">{"det (May)",#N/A,FALSE,"June";"sum (MAY YTD)",#N/A,FALSE,"June YTD"}</definedName>
    <definedName name="nnnnn" hidden="1">{"det (May)",#N/A,FALSE,"June";"sum (MAY YTD)",#N/A,FALSE,"June YTD"}</definedName>
    <definedName name="ñññññ" hidden="1">{#N/A,#N/A,FALSE,"PRECIO FULL";#N/A,#N/A,FALSE,"LARA";#N/A,#N/A,FALSE,"CARACAS";#N/A,#N/A,FALSE,"DISBRACENTRO";#N/A,#N/A,FALSE,"ANDES";#N/A,#N/A,FALSE,"MAR CARIBE";#N/A,#N/A,FALSE,"RIO BEER";#N/A,#N/A,FALSE,"DISBRAH"}</definedName>
    <definedName name="nnnnnnnnnn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nnnnnnnnnnn" hidden="1">{"'cua 42'!$A$1:$O$40"}</definedName>
    <definedName name="no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nom" hidden="1">{"'Hoja1'!$A$1:$K$32"}</definedName>
    <definedName name="nosequesera" hidden="1">{"'Hoja1'!$A$1:$K$32"}</definedName>
    <definedName name="Notes_FooterType" hidden="1">"NONE"</definedName>
    <definedName name="Nov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ñpa" hidden="1">{#N/A,#N/A,FALSE,"RGD$";#N/A,#N/A,FALSE,"BG$";#N/A,#N/A,FALSE,"FC$"}</definedName>
    <definedName name="nuevo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nvnbvvb" hidden="1">{#N/A,#N/A,FALSE,"FIN AÑO"}</definedName>
    <definedName name="nvnv" hidden="1">{"miles",#N/A,FALSE,"LUCROS E PERDAS (US$ 000)";"hl",#N/A,FALSE,"LUCROS E PERDAS (US$ 000)"}</definedName>
    <definedName name="NYTREW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NZNLJKLJ" hidden="1">{#N/A,#N/A,FALSE,"RGD$";#N/A,#N/A,FALSE,"BG$";#N/A,#N/A,FALSE,"FC$"}</definedName>
    <definedName name="o" hidden="1">{"det (May)",#N/A,FALSE,"June";"sum (MAY YTD)",#N/A,FALSE,"June YTD"}</definedName>
    <definedName name="o1x" hidden="1">{"det (May)",#N/A,FALSE,"June";"sum (MAY YTD)",#N/A,FALSE,"June YTD"}</definedName>
    <definedName name="ocs" hidden="1">{#N/A,#N/A,FALSE,"Aging Summary";#N/A,#N/A,FALSE,"Ratio Analysis";#N/A,#N/A,FALSE,"Test 120 Day Accts";#N/A,#N/A,FALSE,"Tickmarks"}</definedName>
    <definedName name="OIOOII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oip" hidden="1">{"det (May)",#N/A,FALSE,"June";"sum (MAY YTD)",#N/A,FALSE,"June YTD"}</definedName>
    <definedName name="OIU" hidden="1">{"det (May)",#N/A,FALSE,"June";"sum (MAY YTD)",#N/A,FALSE,"June YTD"}</definedName>
    <definedName name="okbari" hidden="1">{"det (May)",#N/A,FALSE,"June";"sum (MAY YTD)",#N/A,FALSE,"June YTD"}</definedName>
    <definedName name="okbaria" hidden="1">{"det (May)",#N/A,FALSE,"June";"sum (MAY YTD)",#N/A,FALSE,"June YTD"}</definedName>
    <definedName name="okbaric" hidden="1">{"det (May)",#N/A,FALSE,"June";"sum (MAY YTD)",#N/A,FALSE,"June YTD"}</definedName>
    <definedName name="OMPO" hidden="1">{#N/A,#N/A,FALSE,"Hoja1";#N/A,#N/A,FALSE,"Hoja2"}</definedName>
    <definedName name="on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oo" hidden="1">{"det (May)",#N/A,FALSE,"June";"sum (MAY YTD)",#N/A,FALSE,"June YTD"}</definedName>
    <definedName name="oooo" hidden="1">{"payback2",#N/A,FALSE,"Wirtschaftlichkeitsberechnung"}</definedName>
    <definedName name="oooojk" hidden="1">{"det (May)",#N/A,FALSE,"June";"sum (MAY YTD)",#N/A,FALSE,"June YTD"}</definedName>
    <definedName name="ooooooo" hidden="1">{"det (May)",#N/A,FALSE,"June";"sum (MAY YTD)",#N/A,FALSE,"June YTD"}</definedName>
    <definedName name="oooooooo" hidden="1">{"det (May)",#N/A,FALSE,"June";"sum (MAY YTD)",#N/A,FALSE,"June YTD"}</definedName>
    <definedName name="oooooooooooooo" hidden="1">{"det (May)",#N/A,FALSE,"June";"sum (MAY YTD)",#N/A,FALSE,"June YTD"}</definedName>
    <definedName name="ooooooooooooooooooo" hidden="1">{"det (May)",#N/A,FALSE,"June";"sum (MAY YTD)",#N/A,FALSE,"June YTD"}</definedName>
    <definedName name="ooooooooooooooooooooooooooo" hidden="1">{"det (May)",#N/A,FALSE,"June";"sum (MAY YTD)",#N/A,FALSE,"June YTD"}</definedName>
    <definedName name="opo" hidden="1">{#N/A,#N/A,FALSE,"지침";#N/A,#N/A,FALSE,"환경분석";#N/A,#N/A,FALSE,"Sheet16"}</definedName>
    <definedName name="Orçamento" hidden="1">{#N/A,#N/A,FALSE,"TOTAL"}</definedName>
    <definedName name="otro" hidden="1">{"'Hoja1'!$A$1:$K$32"}</definedName>
    <definedName name="ouiyu" hidden="1">{"RESUMEN",#N/A,FALSE,"RESUMEN";"RESUMEN_MARG",#N/A,FALSE,"RESUMEN"}</definedName>
    <definedName name="OutputSpec_FooterType" hidden="1">"INTERNAL"</definedName>
    <definedName name="ox" hidden="1">{"det (May)",#N/A,FALSE,"June";"sum (MAY YTD)",#N/A,FALSE,"June YTD"}</definedName>
    <definedName name="oytrfg" hidden="1">{"det (May)",#N/A,FALSE,"June";"sum (MAY YTD)",#N/A,FALSE,"June YTD"}</definedName>
    <definedName name="p" hidden="1">{"CAP VOL",#N/A,FALSE,"CAPITAL";"CAP VAR",#N/A,FALSE,"CAPITAL";"CAP FIJ",#N/A,FALSE,"CAPITAL";"CAP CONS",#N/A,FALSE,"CAPITAL";"CAP DATA",#N/A,FALSE,"CAPITAL"}</definedName>
    <definedName name="panama" hidden="1">{#N/A,#N/A,FALSE,"Aging Summary";#N/A,#N/A,FALSE,"Ratio Analysis";#N/A,#N/A,FALSE,"Test 120 Day Accts";#N/A,#N/A,FALSE,"Tickmarks"}</definedName>
    <definedName name="patrimoniale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C_msg" hidden="1">"Yes"</definedName>
    <definedName name="pelo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0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1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5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6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8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19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0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1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2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7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28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3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4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6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7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elo9" hidden="1">{"'REPORT 2000'!$B$3:$M$127"}</definedName>
    <definedName name="PEPE" hidden="1">{#N/A,#N/A,FALSE,"Aging Summary";#N/A,#N/A,FALSE,"Ratio Analysis";#N/A,#N/A,FALSE,"Test 120 Day Accts";#N/A,#N/A,FALSE,"Tickmarks"}</definedName>
    <definedName name="pesetas" hidden="1">#REF!</definedName>
    <definedName name="pioj" hidden="1">{"det (May)",#N/A,FALSE,"June";"sum (MAY YTD)",#N/A,FALSE,"June YTD"}</definedName>
    <definedName name="PIPO" hidden="1">{"det (May)",#N/A,FALSE,"June";"sum (MAY YTD)",#N/A,FALSE,"June YTD"}</definedName>
    <definedName name="PlanByEntity1_FooterType" hidden="1">"NONE"</definedName>
    <definedName name="PlanByEntity2_FooterType" hidden="1">"NONE"</definedName>
    <definedName name="PlanByEntity3_FooterType" hidden="1">"NONE"</definedName>
    <definedName name="playboy" hidden="1">{#N/A,#N/A,FALSE,"RGD$";#N/A,#N/A,FALSE,"BG$";#N/A,#N/A,FALSE,"FC$"}</definedName>
    <definedName name="plep" hidden="1">{#N/A,#N/A,FALSE,"TOTAL"}</definedName>
    <definedName name="po" hidden="1">{#N/A,#N/A,FALSE,"RGD$";#N/A,#N/A,FALSE,"BG$";#N/A,#N/A,FALSE,"FC$"}</definedName>
    <definedName name="POA" hidden="1">{"det (May)",#N/A,FALSE,"June";"sum (MAY YTD)",#N/A,FALSE,"June YTD"}</definedName>
    <definedName name="Pocurement" hidden="1">{"det (May)",#N/A,FALSE,"June";"sum (MAY YTD)",#N/A,FALSE,"June YTD"}</definedName>
    <definedName name="poi" hidden="1">{"Cons_Occ_Lar",#N/A,FALSE,"márgenes";"Cen_met",#N/A,FALSE,"márgenes";"Ori_pl",#N/A,FALSE,"márgenes"}</definedName>
    <definedName name="POIUYTRE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poo" hidden="1">{"det (May)",#N/A,FALSE,"June";"sum (MAY YTD)",#N/A,FALSE,"June YTD"}</definedName>
    <definedName name="Porlamar" hidden="1">{"CAP VOL",#N/A,FALSE,"CAPITAL";"CAP VAR",#N/A,FALSE,"CAPITAL";"CAP FIJ",#N/A,FALSE,"CAPITAL";"CAP CONS",#N/A,FALSE,"CAPITAL";"CAP DATA",#N/A,FALSE,"CAPITAL"}</definedName>
    <definedName name="pp" hidden="1">{"det (May)",#N/A,FALSE,"June";"sum (MAY YTD)",#N/A,FALSE,"June YTD"}</definedName>
    <definedName name="ppp" hidden="1">{"det (May)",#N/A,FALSE,"June";"sum (MAY YTD)",#N/A,FALSE,"June YTD"}</definedName>
    <definedName name="pppp" hidden="1">{"det (May)",#N/A,FALSE,"June";"sum (MAY YTD)",#N/A,FALSE,"June YTD"}</definedName>
    <definedName name="pppppki" hidden="1">{"det (May)",#N/A,FALSE,"June";"sum (MAY YTD)",#N/A,FALSE,"June YTD"}</definedName>
    <definedName name="pppppppppp" hidden="1">{"det (May)",#N/A,FALSE,"June";"sum (MAY YTD)",#N/A,FALSE,"June YTD"}</definedName>
    <definedName name="ppppppppppl" hidden="1">{"det (May)",#N/A,FALSE,"June";"sum (MAY YTD)",#N/A,FALSE,"June YTD"}</definedName>
    <definedName name="prdel" hidden="1">{#N/A,#N/A,FALSE,"výstup1"}</definedName>
    <definedName name="prdelka" hidden="1">{#N/A,#N/A,FALSE,"výstup1"}</definedName>
    <definedName name="Precios" hidden="1">{"CAP VOL",#N/A,FALSE,"CAPITAL";"CAP VAR",#N/A,FALSE,"CAPITAL";"CAP FIJ",#N/A,FALSE,"CAPITAL";"CAP CONS",#N/A,FALSE,"CAPITAL";"CAP DATA",#N/A,FALSE,"CAPITAL"}</definedName>
    <definedName name="premi" hidden="1">{"prem1",#N/A,FALSE,"Consolidado";"pl_us",#N/A,FALSE,"Consolidado";"pl_hl",#N/A,FALSE,"Consolidado";"bs",#N/A,FALSE,"Consolidado";"cf",#N/A,FALSE,"Consolidado"}</definedName>
    <definedName name="premisas" hidden="1">{"prem1",#N/A,FALSE,"Consolidado";"pl_us",#N/A,FALSE,"Consolidado";"pl_hl",#N/A,FALSE,"Consolidado";"bs",#N/A,FALSE,"Consolidado";"cf",#N/A,FALSE,"Consolidado"}</definedName>
    <definedName name="Presentación" hidden="1">{"'input-data'!$B$5:$R$22"}</definedName>
    <definedName name="_xlnm.Print_Area" localSheetId="0">CAPA!$A$1:$J$28</definedName>
    <definedName name="_xlnm.Print_Area" localSheetId="2">CENARIOS!$A$3:$N$28</definedName>
    <definedName name="_xlnm.Print_Area" localSheetId="3">MODELO!$B$4:$Q$39,MODELO!$B$41:$Q$76,MODELO!$B$78:$Q$110,MODELO!$B$114:$Q$142,MODELO!$B$144:$Q$169</definedName>
    <definedName name="_xlnm.Print_Area" localSheetId="1">SUMÁRIO!$B$1:$Q$66</definedName>
    <definedName name="_xlnm.Print_Area" localSheetId="4">VALUATION!$B$3:$P$30,VALUATION!$B$32:$P$71</definedName>
    <definedName name="PRO" hidden="1">{"det (May)",#N/A,FALSE,"June";"sum (MAY YTD)",#N/A,FALSE,"June YTD"}</definedName>
    <definedName name="PROD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Projetos" hidden="1">{#N/A,#N/A,FALSE,"ROTINA";#N/A,#N/A,FALSE,"ITENS";#N/A,#N/A,FALSE,"ACOMP"}</definedName>
    <definedName name="proyeccion" hidden="1">{"'Hoja1'!$A$1:$K$32"}</definedName>
    <definedName name="ptas" hidden="1">#REF!</definedName>
    <definedName name="py" hidden="1">{"'Hoja1'!$A$1:$K$32"}</definedName>
    <definedName name="q" hidden="1">{"total",#N/A,FALSE,"TOTAL $";"totalhl",#N/A,FALSE,"TOTAL $HL";"vol",#N/A,FALSE,"VOLUMEN";"xprod1",#N/A,FALSE,"X PROD";"xprod2",#N/A,FALSE,"X PROD";"finaño1",#N/A,FALSE,"FIN AÑO Meta";"finaño2",#N/A,FALSE,"FIN AÑO Meta"}</definedName>
    <definedName name="qawqw" hidden="1">{"CAP VOL",#N/A,FALSE,"CAPITAL";"CAP VAR",#N/A,FALSE,"CAPITAL";"CAP FIJ",#N/A,FALSE,"CAPITAL";"CAP CONS",#N/A,FALSE,"CAPITAL";"CAP DATA",#N/A,FALSE,"CAPITAL"}</definedName>
    <definedName name="qde" hidden="1">#REF!</definedName>
    <definedName name="qiowuefhqopiweufhnqpero" hidden="1">{"det (May)",#N/A,FALSE,"June";"sum (MAY YTD)",#N/A,FALSE,"June YTD"}</definedName>
    <definedName name="qq" hidden="1">{"det (May)",#N/A,FALSE,"June";"sum (MAY YTD)",#N/A,FALSE,"June YTD"}</definedName>
    <definedName name="qqd" hidden="1">{"det (May)",#N/A,FALSE,"June";"sum (MAY YTD)",#N/A,FALSE,"June YTD"}</definedName>
    <definedName name="qqq" hidden="1">{#N/A,#N/A,FALSE,"FIN AÑO"}</definedName>
    <definedName name="qqqq" hidden="1">{"det (May)",#N/A,FALSE,"June";"sum (MAY YTD)",#N/A,FALSE,"June YTD"}</definedName>
    <definedName name="qqqqa" hidden="1">{"det (May)",#N/A,FALSE,"June";"sum (MAY YTD)",#N/A,FALSE,"June YTD"}</definedName>
    <definedName name="qqqqqq" hidden="1">{"det (May)",#N/A,FALSE,"June";"sum (MAY YTD)",#N/A,FALSE,"June YTD"}</definedName>
    <definedName name="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qqqqqqqqqqq" hidden="1">{"det (May)",#N/A,FALSE,"June";"sum (MAY YTD)",#N/A,FALSE,"June YTD"}</definedName>
    <definedName name="QQQQQQQQQQQQQQQQQQQQQQQQQQQQQQQQQQQQQQQQQQQQQQQQQQQ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qs" hidden="1">{"det (May)",#N/A,FALSE,"June";"sum (MAY YTD)",#N/A,FALSE,"June YTD"}</definedName>
    <definedName name="QRYCOUNT" hidden="1">0</definedName>
    <definedName name="QRYNEXT" hidden="1">1</definedName>
    <definedName name="QRYWKS1" hidden="1">0</definedName>
    <definedName name="qsdsdqs" hidden="1">{"det (May)",#N/A,FALSE,"June";"sum (MAY YTD)",#N/A,FALSE,"June YTD"}</definedName>
    <definedName name="qwe" hidden="1">{#N/A,#N/A,FALSE,"지침";#N/A,#N/A,FALSE,"환경분석";#N/A,#N/A,FALSE,"Sheet16"}</definedName>
    <definedName name="QWER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qwerty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rddf" hidden="1">{"det (May)",#N/A,FALSE,"June";"sum (MAY YTD)",#N/A,FALSE,"June YTD"}</definedName>
    <definedName name="rded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edfre" hidden="1">{"det (May)",#N/A,FALSE,"June";"sum (MAY YTD)",#N/A,FALSE,"June YTD"}</definedName>
    <definedName name="reer" hidden="1">{"Cons_Occ_Lar",#N/A,FALSE,"márgenes";"Cen_met",#N/A,FALSE,"márgenes";"Ori_pl",#N/A,FALSE,"márgenes"}</definedName>
    <definedName name="reffaf" hidden="1">{"det (May)",#N/A,FALSE,"June";"sum (MAY YTD)",#N/A,FALSE,"June YTD"}</definedName>
    <definedName name="regqsxgc" hidden="1">{"det (May)",#N/A,FALSE,"June";"sum (MAY YTD)",#N/A,FALSE,"June YTD"}</definedName>
    <definedName name="regrgf" hidden="1">{"det (May)",#N/A,FALSE,"June";"sum (MAY YTD)",#N/A,FALSE,"June YTD"}</definedName>
    <definedName name="rehyh" hidden="1">{"det (May)",#N/A,FALSE,"June";"sum (MAY YTD)",#N/A,FALSE,"June YTD"}</definedName>
    <definedName name="report2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report3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Reporte" hidden="1">{#N/A,#N/A,FALSE,"Objetivos"}</definedName>
    <definedName name="rerd" hidden="1">{"det (May)",#N/A,FALSE,"June";"sum (MAY YTD)",#N/A,FALSE,"June YTD"}</definedName>
    <definedName name="rere" hidden="1">{"det (May)",#N/A,FALSE,"June";"sum (MAY YTD)",#N/A,FALSE,"June YTD"}</definedName>
    <definedName name="rerere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esources" hidden="1">{#N/A,#N/A,FALSE,"Assessment";#N/A,#N/A,FALSE,"Staffing";#N/A,#N/A,FALSE,"Hires";#N/A,#N/A,FALSE,"Assumptions"}</definedName>
    <definedName name="rewrwe" hidden="1">{"CAP VOL",#N/A,FALSE,"CAPITAL";"CAP VAR",#N/A,FALSE,"CAPITAL";"CAP FIJ",#N/A,FALSE,"CAPITAL";"CAP CONS",#N/A,FALSE,"CAPITAL";"CAP DATA",#N/A,FALSE,"CAPITAL"}</definedName>
    <definedName name="rewwrwr" hidden="1">{#N/A,"Carabeer",FALSE,"Dscto.";#N/A,"Disbracentro",FALSE,"Dscto.";#N/A,"Río Beer",FALSE,"Dscto.";#N/A,"Andes",FALSE,"Dscto."}</definedName>
    <definedName name="rffddd" hidden="1">{"det (May)",#N/A,FALSE,"June";"sum (MAY YTD)",#N/A,FALSE,"June YTD"}</definedName>
    <definedName name="rfiuogft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rerrf" hidden="1">{"det (May)",#N/A,FALSE,"June";"sum (MAY YTD)",#N/A,FALSE,"June YTD"}</definedName>
    <definedName name="rfrffz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frfrfe" hidden="1">{"det (May)",#N/A,FALSE,"June";"sum (MAY YTD)",#N/A,FALSE,"June YTD"}</definedName>
    <definedName name="rfzgg" hidden="1">{"det (May)",#N/A,FALSE,"June";"sum (MAY YTD)",#N/A,FALSE,"June YTD"}</definedName>
    <definedName name="rgbbbbbbbbbbbbbbb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gbbbbbbbbbbbbbbbbb" hidden="1">{"det (May)",#N/A,FALSE,"June";"sum (MAY YTD)",#N/A,FALSE,"June YTD"}</definedName>
    <definedName name="rhe" hidden="1">{"det (May)",#N/A,FALSE,"June";"sum (MAY YTD)",#N/A,FALSE,"June YTD"}</definedName>
    <definedName name="rhhd" hidden="1">{"det (May)",#N/A,FALSE,"June";"sum (MAY YTD)",#N/A,FALSE,"June YTD"}</definedName>
    <definedName name="rieifr" hidden="1">{"det (May)",#N/A,FALSE,"June";"sum (MAY YTD)",#N/A,FALSE,"June YTD"}</definedName>
    <definedName name="rieis" hidden="1">{"det (May)",#N/A,FALSE,"June";"sum (MAY YTD)",#N/A,FALSE,"June YTD"}</definedName>
    <definedName name="riv" hidden="1">{"'REPORT 2000'!$B$3:$M$127"}</definedName>
    <definedName name="RPTCOUNT" hidden="1">1</definedName>
    <definedName name="RPTDATACELL1" hidden="1">#REF!</definedName>
    <definedName name="RPTID" hidden="1">0</definedName>
    <definedName name="RPTNEXT" hidden="1">2</definedName>
    <definedName name="RPTQRY1" hidden="1">1</definedName>
    <definedName name="RPTWKS1" hidden="1">#REF!</definedName>
    <definedName name="RRRRR" hidden="1">{"'input-data'!$B$5:$R$22"}</definedName>
    <definedName name="rrrrrfrfe" hidden="1">{"det (May)",#N/A,FALSE,"June";"sum (MAY YTD)",#N/A,FALSE,"June YTD"}</definedName>
    <definedName name="rrrrrr" hidden="1">{"det (May)",#N/A,FALSE,"June";"sum (MAY YTD)",#N/A,FALSE,"June YTD"}</definedName>
    <definedName name="rrrrrrrrrf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rrrrrrrrrrfrf" hidden="1">{"det (May)",#N/A,FALSE,"June";"sum (MAY YTD)",#N/A,FALSE,"June YTD"}</definedName>
    <definedName name="rrrrrrrrrrrrr" hidden="1">{"det (May)",#N/A,FALSE,"June";"sum (MAY YTD)",#N/A,FALSE,"June YTD"}</definedName>
    <definedName name="rrrrrrrrrrrrrr" hidden="1">{"det (May)",#N/A,FALSE,"June";"sum (MAY YTD)",#N/A,FALSE,"June YTD"}</definedName>
    <definedName name="rrrrrrrrrrrrrrrrrrrrr" hidden="1">{"det (May)",#N/A,FALSE,"June";"sum (MAY YTD)",#N/A,FALSE,"June YTD"}</definedName>
    <definedName name="rrrrrrrrrrrrrrrrrrrrrrrr" hidden="1">{"det (May)",#N/A,FALSE,"June";"sum (MAY YTD)",#N/A,FALSE,"June YTD"}</definedName>
    <definedName name="rrrrrrrrrrrrrrrrrrrrrrrrrrrrrrrrrrr" hidden="1">{"det (May)",#N/A,FALSE,"June";"sum (MAY YTD)",#N/A,FALSE,"June YTD"}</definedName>
    <definedName name="rthrfth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thrghrt" hidden="1">{"det (May)",#N/A,FALSE,"June";"sum (MAY YTD)",#N/A,FALSE,"June YTD"}</definedName>
    <definedName name="r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rxi" hidden="1">{"det (May)",#N/A,FALSE,"June";"sum (MAY YTD)",#N/A,FALSE,"June YTD"}</definedName>
    <definedName name="rzty" hidden="1">{"det (May)",#N/A,FALSE,"June";"sum (MAY YTD)",#N/A,FALSE,"June YTD"}</definedName>
    <definedName name="s" hidden="1">{"det (May)",#N/A,FALSE,"June";"sum (MAY YTD)",#N/A,FALSE,"June YTD"}</definedName>
    <definedName name="safaf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santiago" hidden="1">{"'cua 42'!$A$1:$O$40"}</definedName>
    <definedName name="SAPBEXdnldView" hidden="1">"9GZ1COTRU0MQOZZZEPHS2N7OB"</definedName>
    <definedName name="SAPBEXhrIndnt" hidden="1">1</definedName>
    <definedName name="SAPBEXrevision" hidden="1">50</definedName>
    <definedName name="SAPBEXsysID" hidden="1">"BWP"</definedName>
    <definedName name="SAPBEXwbID" hidden="1">"452Y78PQ2R82VFFP1NAQOUVJF"</definedName>
    <definedName name="SAPFuncF4Help" hidden="1">Main.SAPF4Help()</definedName>
    <definedName name="sar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sasa" hidden="1">{"Real",#N/A,FALSE,"CONSOLIDADO";"Real",#N/A,FALSE,"OCCIDENTE";"Real",#N/A,FALSE,"LARA";"Real",#N/A,FALSE,"CENTRO";"Real",#N/A,FALSE,"METROPOLITANA";"Real",#N/A,FALSE,"ORIENTE";"Real",#N/A,FALSE,"Pto.libre"}</definedName>
    <definedName name="sasas" hidden="1">{"prem1",#N/A,FALSE,"Consolidado";"pl_us",#N/A,FALSE,"Consolidado";"pl_hl",#N/A,FALSE,"Consolidado";"bs",#N/A,FALSE,"Consolidado";"cf",#N/A,FALSE,"Consolidado"}</definedName>
    <definedName name="savings" hidden="1">{#N/A,#N/A,FALSE,"지침";#N/A,#N/A,FALSE,"환경분석";#N/A,#N/A,FALSE,"Sheet16"}</definedName>
    <definedName name="saxsa" hidden="1">#REF!</definedName>
    <definedName name="Scaba" hidden="1">{#N/A,#N/A,FALSE,"지침";#N/A,#N/A,FALSE,"환경분석";#N/A,#N/A,FALSE,"Sheet16"}</definedName>
    <definedName name="sd" hidden="1">{"miles",#N/A,FALSE,"LUCROS E PERDAS (US$ 000)";"hl",#N/A,FALSE,"LUCROS E PERDAS (US$ 000)"}</definedName>
    <definedName name="sddjksfjksdk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ddx" hidden="1">{"prem1",#N/A,FALSE,"Consolidado";"pl_us",#N/A,FALSE,"Consolidado";"pl_hl",#N/A,FALSE,"Consolidado";"bs",#N/A,FALSE,"Consolidado";"cf",#N/A,FALSE,"Consolidado"}</definedName>
    <definedName name="sdf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sdfg" hidden="1">{#N/A,#N/A,FALSE,"Aging Summary";#N/A,#N/A,FALSE,"Ratio Analysis";#N/A,#N/A,FALSE,"Test 120 Day Accts";#N/A,#N/A,FALSE,"Tickmarks"}</definedName>
    <definedName name="sdfhgncv" hidden="1">{"det (May)",#N/A,FALSE,"June";"sum (MAY YTD)",#N/A,FALSE,"June YTD"}</definedName>
    <definedName name="sdfsg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dg" hidden="1">{#N/A,#N/A,FALSE,"지침";#N/A,#N/A,FALSE,"환경분석";#N/A,#N/A,FALSE,"Sheet16"}</definedName>
    <definedName name="sdgasd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dn" hidden="1">{#N/A,#N/A,FALSE,"Hoja1";#N/A,#N/A,FALSE,"Hoja2"}</definedName>
    <definedName name="sdqdsqd" hidden="1">#REF!</definedName>
    <definedName name="SDS" hidden="1">{"Cons_Occ_Lar",#N/A,FALSE,"márgenes";"Cen_met",#N/A,FALSE,"márgenes";"Ori_pl",#N/A,FALSE,"márgenes"}</definedName>
    <definedName name="SDSD" hidden="1">{"Cons_Occ_Lar",#N/A,FALSE,"márgenes";"Cen_met",#N/A,FALSE,"márgenes";"Ori_pl",#N/A,FALSE,"márgenes"}</definedName>
    <definedName name="SDSDSLKLKLKL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EGMENTATION" hidden="1">{"det (May)",#N/A,FALSE,"June";"sum (MAY YTD)",#N/A,FALSE,"June YTD"}</definedName>
    <definedName name="sencount" hidden="1">1</definedName>
    <definedName name="serey" hidden="1">{#N/A,#N/A,FALSE,"TOTAL"}</definedName>
    <definedName name="sertes" hidden="1">{"'cua 42'!$A$1:$O$40"}</definedName>
    <definedName name="sf" hidden="1">{"det (May)",#N/A,FALSE,"June";"sum (MAY YTD)",#N/A,FALSE,"June YTD"}</definedName>
    <definedName name="sfd" hidden="1">{"det (May)",#N/A,FALSE,"June";"sum (MAY YTD)",#N/A,FALSE,"June YTD"}</definedName>
    <definedName name="sffgf" hidden="1">{"det (May)",#N/A,FALSE,"June";"sum (MAY YTD)",#N/A,FALSE,"June YTD"}</definedName>
    <definedName name="sfg" hidden="1">'[13]dep pre'!#REF!</definedName>
    <definedName name="sfghd" hidden="1">{"det (May)",#N/A,FALSE,"June";"sum (MAY YTD)",#N/A,FALSE,"June YTD"}</definedName>
    <definedName name="sh" hidden="1">{#N/A,#N/A,FALSE,"TOTAL"}</definedName>
    <definedName name="sheet1" hidden="1">{#N/A,#N/A,FALSE,"지침";#N/A,#N/A,FALSE,"환경분석";#N/A,#N/A,FALSE,"Sheet16"}</definedName>
    <definedName name="Sheet1_FooterType" hidden="1">"EXTERNAL"</definedName>
    <definedName name="Sheet2" hidden="1">{#N/A,#N/A,FALSE,"Assumptions";#N/A,#N/A,FALSE,"1997 P&amp;L(pk) Estrada";#N/A,#N/A,FALSE,"ONGOING P&amp;L(pk) Estrada"}</definedName>
    <definedName name="Sheet5bvhjvgkghk" hidden="1">{"det (May)",#N/A,FALSE,"June";"sum (MAY YTD)",#N/A,FALSE,"June YTD"}</definedName>
    <definedName name="shit" hidden="1">{"'cua 42'!$A$1:$O$40"}</definedName>
    <definedName name="SI" hidden="1">{"det (May)",#N/A,FALSE,"June";"sum (MAY YTD)",#N/A,FALSE,"June YTD"}</definedName>
    <definedName name="sici" hidden="1">{"det (May)",#N/A,FALSE,"June";"sum (MAY YTD)",#N/A,FALSE,"June YTD"}</definedName>
    <definedName name="SIPO" hidden="1">{"CAP VOL",#N/A,FALSE,"CAPITAL";"CAP VAR",#N/A,FALSE,"CAPITAL";"CAP FIJ",#N/A,FALSE,"CAPITAL";"CAP CONS",#N/A,FALSE,"CAPITAL";"CAP DATA",#N/A,FALSE,"CAPITAL"}</definedName>
    <definedName name="SJJJD" hidden="1">{"RESUMEN",#N/A,FALSE,"RESUMEN";"RESUMEN_MARG",#N/A,FALSE,"RESUMEN"}</definedName>
    <definedName name="skksk" hidden="1">{"RESUMEN",#N/A,FALSE,"RESUMEN";"RESUMEN_MARG",#N/A,FALSE,"RESUMEN"}</definedName>
    <definedName name="SKLKD" hidden="1">{#N/A,#N/A,FALSE,"RGD$";#N/A,#N/A,FALSE,"BG$";#N/A,#N/A,FALSE,"FC$"}</definedName>
    <definedName name="slo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ovx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lsa" hidden="1">{#N/A,#N/A,FALSE,"PRECIO FULL";#N/A,#N/A,FALSE,"LARA";#N/A,#N/A,FALSE,"CARACAS";#N/A,#N/A,FALSE,"DISBRACENTRO";#N/A,#N/A,FALSE,"ANDES";#N/A,#N/A,FALSE,"MAR CARIBE";#N/A,#N/A,FALSE,"RIO BEER";#N/A,#N/A,FALSE,"DISBRAH"}</definedName>
    <definedName name="smto" hidden="1">{"'Resumen US$'!$A$104:$B$104"}</definedName>
    <definedName name="so" hidden="1">{#N/A,#N/A,FALSE,"지침";#N/A,#N/A,FALSE,"환경분석";#N/A,#N/A,FALSE,"Sheet16"}</definedName>
    <definedName name="Soft" hidden="1">{"det (May)",#N/A,FALSE,"June";"sum (MAY YTD)",#N/A,FALSE,"June YTD"}</definedName>
    <definedName name="softx" hidden="1">{"det (May)",#N/A,FALSE,"June";"sum (MAY YTD)",#N/A,FALSE,"June YTD"}</definedName>
    <definedName name="srthrhrt" hidden="1">{"det (May)",#N/A,FALSE,"June";"sum (MAY YTD)",#N/A,FALSE,"June YTD"}</definedName>
    <definedName name="srthtrhjytj" hidden="1">{"det (May)",#N/A,FALSE,"June";"sum (MAY YTD)",#N/A,FALSE,"June YTD"}</definedName>
    <definedName name="srtjstjytj" hidden="1">{"det (May)",#N/A,FALSE,"June";"sum (MAY YTD)",#N/A,FALSE,"June YTD"}</definedName>
    <definedName name="srtjtyjtyj" hidden="1">{"det (May)",#N/A,FALSE,"June";"sum (MAY YTD)",#N/A,FALSE,"June YTD"}</definedName>
    <definedName name="srtyjtyjty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s" hidden="1">{"'RR'!$A$2:$E$81"}</definedName>
    <definedName name="ss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ss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ssdzs" hidden="1">{"det (May)",#N/A,FALSE,"June";"sum (MAY YTD)",#N/A,FALSE,"June YTD"}</definedName>
    <definedName name="SSEDF" hidden="1">{"CAP VOL",#N/A,FALSE,"CAPITAL";"CAP VAR",#N/A,FALSE,"CAPITAL";"CAP FIJ",#N/A,FALSE,"CAPITAL";"CAP CONS",#N/A,FALSE,"CAPITAL";"CAP DATA",#N/A,FALSE,"CAPITAL"}</definedName>
    <definedName name="SSKKKD" hidden="1">{#N/A,#N/A,FALSE,"PRECIO FULL";#N/A,#N/A,FALSE,"LARA";#N/A,#N/A,FALSE,"CARACAS";#N/A,#N/A,FALSE,"DISBRACENTRO";#N/A,#N/A,FALSE,"ANDES";#N/A,#N/A,FALSE,"MAR CARIBE";#N/A,#N/A,FALSE,"RIO BEER";#N/A,#N/A,FALSE,"DISBRAH"}</definedName>
    <definedName name="sss" hidden="1">{"'RR'!$A$2:$E$81"}</definedName>
    <definedName name="ssscd" hidden="1">{#N/A,#N/A,FALSE,"TOTAL"}</definedName>
    <definedName name="SSSDEER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SSJJD" hidden="1">{"Real",#N/A,FALSE,"CONSOLIDADO";"Real",#N/A,FALSE,"OCCIDENTE";"Real",#N/A,FALSE,"LARA";"Real",#N/A,FALSE,"CENTRO";"Real",#N/A,FALSE,"METROPOLITANA";"Real",#N/A,FALSE,"ORIENTE";"Real",#N/A,FALSE,"Pto.libre"}</definedName>
    <definedName name="ssss" hidden="1">{#N/A,#N/A,FALSE,"Aging Summary";#N/A,#N/A,FALSE,"Ratio Analysis";#N/A,#N/A,FALSE,"Test 120 Day Accts";#N/A,#N/A,FALSE,"Tickmarks"}</definedName>
    <definedName name="SSSSS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sssssds" hidden="1">{"det (May)",#N/A,FALSE,"June";"sum (MAY YTD)",#N/A,FALSE,"June YTD"}</definedName>
    <definedName name="ssssss" hidden="1">{"'tasa de salida'!$A$1:$G$48"}</definedName>
    <definedName name="sszz" hidden="1">{"det (May)",#N/A,FALSE,"June";"sum (MAY YTD)",#N/A,FALSE,"June YTD"}</definedName>
    <definedName name="staffing2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ndard_Checks_FooterType" hidden="1">"INTERNAL"</definedName>
    <definedName name="stella" hidden="1">{"det (May)",#N/A,FALSE,"June";"sum (MAY YTD)",#N/A,FALSE,"June YTD"}</definedName>
    <definedName name="stellax" hidden="1">{"det (May)",#N/A,FALSE,"June";"sum (MAY YTD)",#N/A,FALSE,"June YTD"}</definedName>
    <definedName name="sthstghr" hidden="1">{"det (May)",#N/A,FALSE,"June";"sum (MAY YTD)",#N/A,FALSE,"June YTD"}</definedName>
    <definedName name="SuperUser" hidden="1">FALSE</definedName>
    <definedName name="SWOT" hidden="1">{#N/A,#N/A,FALSE,"ROTINA";#N/A,#N/A,FALSE,"ITENS";#N/A,#N/A,FALSE,"ACOMP"}</definedName>
    <definedName name="sws" hidden="1">{#N/A,#N/A,FALSE,"Hoja1";#N/A,#N/A,FALSE,"Hoja2"}</definedName>
    <definedName name="Swvu.steve." hidden="1">#REF!</definedName>
    <definedName name="sxsad" hidden="1">{#N/A,#N/A,FALSE,"Hoja1";#N/A,#N/A,FALSE,"Hoja2"}</definedName>
    <definedName name="tamas" hidden="1">#REF!</definedName>
    <definedName name="tdjytjd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emp_2" hidden="1">{#N/A,#N/A,FALSE,"Assessment";#N/A,#N/A,FALSE,"Staffing";#N/A,#N/A,FALSE,"Hires";#N/A,#N/A,FALSE,"Assumptions"}</definedName>
    <definedName name="Temp_3" hidden="1">{#N/A,#N/A,FALSE,"Assessment";#N/A,#N/A,FALSE,"Staffing";#N/A,#N/A,FALSE,"Hires";#N/A,#N/A,FALSE,"Assumptions"}</definedName>
    <definedName name="Term" hidden="1">#REF!</definedName>
    <definedName name="test" hidden="1">{"det (May)",#N/A,FALSE,"June";"sum (MAY YTD)",#N/A,FALSE,"June YTD"}</definedName>
    <definedName name="teste" hidden="1">{#N/A,#N/A,FALSE,"ROTINA";#N/A,#N/A,FALSE,"ITENS";#N/A,#N/A,FALSE,"ACOMP"}</definedName>
    <definedName name="testes" hidden="1">{#N/A,#N/A,FALSE,"ROTINA";#N/A,#N/A,FALSE,"ITENS";#N/A,#N/A,FALSE,"ACOMP"}</definedName>
    <definedName name="TextRefCopyRangeCount" hidden="1">3</definedName>
    <definedName name="tim" hidden="1">#REF!</definedName>
    <definedName name="TITLE">CAPA!$B$12</definedName>
    <definedName name="tjdtjytg" hidden="1">{"det (May)",#N/A,FALSE,"June";"sum (MAY YTD)",#N/A,FALSE,"June YTD"}</definedName>
    <definedName name="tkuku" hidden="1">{"det (May)",#N/A,FALSE,"June";"sum (MAY YTD)",#N/A,FALSE,"June YTD"}</definedName>
    <definedName name="to" hidden="1">{#N/A,#N/A,FALSE,"지침";#N/A,#N/A,FALSE,"환경분석";#N/A,#N/A,FALSE,"Sheet16"}</definedName>
    <definedName name="Tonica" hidden="1">{"'input-data'!$B$5:$R$22"}</definedName>
    <definedName name="transPO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transsr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trfgfd" hidden="1">{#N/A,#N/A,FALSE,"FIN AÑO"}</definedName>
    <definedName name="trjtyj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rrr" hidden="1">{"prem1",#N/A,FALSE,"Consolidado";"pl_us",#N/A,FALSE,"Consolidado";"pl_hl",#N/A,FALSE,"Consolidado";"bs",#N/A,FALSE,"Consolidado";"cf",#N/A,FALSE,"Consolidado"}</definedName>
    <definedName name="tryuuuuuuuuuu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t" hidden="1">{"det (May)",#N/A,FALSE,"June";"sum (MAY YTD)",#N/A,FALSE,"June YTD"}</definedName>
    <definedName name="ttt" hidden="1">{#N/A,#N/A,FALSE,"RELATÓRIO";#N/A,#N/A,FALSE,"RELATÓRIO"}</definedName>
    <definedName name="tttt" hidden="1">{"det (May)",#N/A,FALSE,"June";"sum (MAY YTD)",#N/A,FALSE,"June YTD"}</definedName>
    <definedName name="ttttt" hidden="1">{#N/A,#N/A,FALSE,"지침";#N/A,#N/A,FALSE,"환경분석";#N/A,#N/A,FALSE,"Sheet16"}</definedName>
    <definedName name="ttttttttttttttt" hidden="1">{0,#N/A,FALSE,0;0,#N/A,FALSE,0}</definedName>
    <definedName name="tuytju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tyjdyj" hidden="1">{"det (May)",#N/A,FALSE,"June";"sum (MAY YTD)",#N/A,FALSE,"June YTD"}</definedName>
    <definedName name="tyjtjd" hidden="1">{"det (May)",#N/A,FALSE,"June";"sum (MAY YTD)",#N/A,FALSE,"June YTD"}</definedName>
    <definedName name="tyjtyhfrth" hidden="1">{"det (May)",#N/A,FALSE,"June";"sum (MAY YTD)",#N/A,FALSE,"June YTD"}</definedName>
    <definedName name="tyjuthdr" hidden="1">{"det (May)",#N/A,FALSE,"June";"sum (MAY YTD)",#N/A,FALSE,"June YTD"}</definedName>
    <definedName name="tyktykd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kuky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kyukr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rez" hidden="1">{"det (May)",#N/A,FALSE,"June";"sum (MAY YTD)",#N/A,FALSE,"June YTD"}</definedName>
    <definedName name="tyujtujt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urt" hidden="1">{"'cua 42'!$A$1:$O$40"}</definedName>
    <definedName name="tyuyu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tyyhgf" hidden="1">{"det (May)",#N/A,FALSE,"June";"sum (MAY YTD)",#N/A,FALSE,"June YTD"}</definedName>
    <definedName name="u" hidden="1">{"det (May)",#N/A,FALSE,"June";"sum (MAY YTD)",#N/A,FALSE,"June YTD"}</definedName>
    <definedName name="ù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ui" hidden="1">{"CAP VOL",#N/A,FALSE,"CAPITAL";"CAP VAR",#N/A,FALSE,"CAPITAL";"CAP FIJ",#N/A,FALSE,"CAPITAL";"CAP CONS",#N/A,FALSE,"CAPITAL";"CAP DATA",#N/A,FALSE,"CAPITAL"}</definedName>
    <definedName name="uigtyui" hidden="1">{"det (May)",#N/A,FALSE,"June";"sum (MAY YTD)",#N/A,FALSE,"June YTD"}</definedName>
    <definedName name="uiiiiiiiiiiiiiii" hidden="1">{"det (May)",#N/A,FALSE,"June";"sum (MAY YTD)",#N/A,FALSE,"June YTD"}</definedName>
    <definedName name="uikgjghgdf" hidden="1">{"det (May)",#N/A,FALSE,"June";"sum (MAY YTD)",#N/A,FALSE,"June YTD"}</definedName>
    <definedName name="uiuiiiiii" hidden="1">{"det (May)",#N/A,FALSE,"June";"sum (MAY YTD)",#N/A,FALSE,"June YTD"}</definedName>
    <definedName name="ujh" hidden="1">{"det (May)",#N/A,FALSE,"June";"sum (MAY YTD)",#N/A,FALSE,"June YTD"}</definedName>
    <definedName name="UKByEntity_FooterType" hidden="1">"EXTERNAL"</definedName>
    <definedName name="ukdtuykfk" hidden="1">{"det (May)",#N/A,FALSE,"June";"sum (MAY YTD)",#N/A,FALSE,"June YTD"}</definedName>
    <definedName name="Ukraine_FooterType" hidden="1">"EXTERNAL"</definedName>
    <definedName name="UkraineByEntity_FooterType" hidden="1">"NONE"</definedName>
    <definedName name="United_KingdomByEntity_FooterType" hidden="1">"NONE"</definedName>
    <definedName name="uruguay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USABByEntity_FooterType" hidden="1">"EXTERNAL"</definedName>
    <definedName name="USAByEntity_FooterType" hidden="1">"NONE"</definedName>
    <definedName name="USALabattByEntity_FooterType" hidden="1">"EXTERNAL"</definedName>
    <definedName name="USPRMByEntity_FooterType" hidden="1">"EXTERNAL"</definedName>
    <definedName name="ut" hidden="1">{"det (May)",#N/A,FALSE,"June";"sum (MAY YTD)",#N/A,FALSE,"June YTD"}</definedName>
    <definedName name="utluilu" hidden="1">{"det (May)",#N/A,FALSE,"June";"sum (MAY YTD)",#N/A,FALSE,"June YTD"}</definedName>
    <definedName name="utyuuyyujuj" hidden="1">{"det (May)",#N/A,FALSE,"June";"sum (MAY YTD)",#N/A,FALSE,"June YTD"}</definedName>
    <definedName name="uu" hidden="1">{"det (May)",#N/A,FALSE,"June";"sum (MAY YTD)",#N/A,FALSE,"June YTD"}</definedName>
    <definedName name="uuu" hidden="1">{#N/A,#N/A,FALSE,"RELATÓRIO";#N/A,#N/A,FALSE,"RELATÓRIO"}</definedName>
    <definedName name="uuuu" hidden="1">{"det (May)",#N/A,FALSE,"June";"sum (MAY YTD)",#N/A,FALSE,"June YTD"}</definedName>
    <definedName name="uuuuu" hidden="1">{"det (May)",#N/A,FALSE,"June";"sum (MAY YTD)",#N/A,FALSE,"June YTD"}</definedName>
    <definedName name="uuuuuuuuh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uuuuuuuuuhg" hidden="1">{"det (May)",#N/A,FALSE,"June";"sum (MAY YTD)",#N/A,FALSE,"June YTD"}</definedName>
    <definedName name="uuuuuuuuuuuu" hidden="1">{"det (May)",#N/A,FALSE,"June";"sum (MAY YTD)",#N/A,FALSE,"June YTD"}</definedName>
    <definedName name="uuuuuuuuuuuuuui" hidden="1">{"det (May)",#N/A,FALSE,"June";"sum (MAY YTD)",#N/A,FALSE,"June YTD"}</definedName>
    <definedName name="uuuuuuuuuuuuuuuu" hidden="1">{"det (May)",#N/A,FALSE,"June";"sum (MAY YTD)",#N/A,FALSE,"June YTD"}</definedName>
    <definedName name="uuuuuuuuuuuuuuy" hidden="1">{"det (May)",#N/A,FALSE,"June";"sum (MAY YTD)",#N/A,FALSE,"June YTD"}</definedName>
    <definedName name="uuuuuuuuuuy" hidden="1">{"det (May)",#N/A,FALSE,"June";"sum (MAY YTD)",#N/A,FALSE,"June YTD"}</definedName>
    <definedName name="u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uyy" hidden="1">{"det (May)",#N/A,FALSE,"June";"sum (MAY YTD)",#N/A,FALSE,"June YTD"}</definedName>
    <definedName name="v" hidden="1">{"det (May)",#N/A,FALSE,"June";"sum (MAY YTD)",#N/A,FALSE,"June YTD"}</definedName>
    <definedName name="va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VARI" hidden="1">{#N/A,#N/A,FALSE,"지침";#N/A,#N/A,FALSE,"환경분석";#N/A,#N/A,FALSE,"Sheet16"}</definedName>
    <definedName name="VARIA" hidden="1">{#N/A,#N/A,FALSE,"지침";#N/A,#N/A,FALSE,"환경분석";#N/A,#N/A,FALSE,"Sheet16"}</definedName>
    <definedName name="vbcvb" hidden="1">{#N/A,#N/A,FALSE,"P.L.Full";#N/A,#N/A,FALSE,"P.L.Desc."}</definedName>
    <definedName name="vbcvbcv" hidden="1">{"CAP VOL",#N/A,FALSE,"CAPITAL";"CAP VAR",#N/A,FALSE,"CAPITAL";"CAP FIJ",#N/A,FALSE,"CAPITAL";"CAP CONS",#N/A,FALSE,"CAPITAL";"CAP DATA",#N/A,FALSE,"CAPITAL"}</definedName>
    <definedName name="vbnbvn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vbxcbgfbhgf" hidden="1">{"det (May)",#N/A,FALSE,"June";"sum (MAY YTD)",#N/A,FALSE,"June YTD"}</definedName>
    <definedName name="vcvccv" hidden="1">{"miles",#N/A,FALSE,"LUCROS E PERDAS (US$ 000)";"hl",#N/A,FALSE,"LUCROS E PERDAS (US$ 000)"}</definedName>
    <definedName name="vcxbcbbnv" hidden="1">{#N/A,#N/A,FALSE,"Hoja1";#N/A,#N/A,FALSE,"Hoja2"}</definedName>
    <definedName name="vcxvcxvx" hidden="1">{#N/A,#N/A,FALSE,"RGD$";#N/A,#N/A,FALSE,"BG$";#N/A,#N/A,FALSE,"FC$"}</definedName>
    <definedName name="vcxxcvxc" hidden="1">{#N/A,#N/A,FALSE,"PRECIO FULL";#N/A,#N/A,FALSE,"LARA";#N/A,#N/A,FALSE,"CARACAS";#N/A,#N/A,FALSE,"DISBRACENTRO";#N/A,#N/A,FALSE,"ANDES";#N/A,#N/A,FALSE,"MAR CARIBE";#N/A,#N/A,FALSE,"RIO BEER";#N/A,#N/A,FALSE,"DISBRAH"}</definedName>
    <definedName name="vd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vff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icente" hidden="1">{"CAP VOL",#N/A,FALSE,"CAPITAL";"CAP VAR",#N/A,FALSE,"CAPITAL";"CAP FIJ",#N/A,FALSE,"CAPITAL";"CAP CONS",#N/A,FALSE,"CAPITAL";"CAP DATA",#N/A,FALSE,"CAPITAL"}</definedName>
    <definedName name="vis" hidden="1">{"det (May)",#N/A,FALSE,"June";"sum (MAY YTD)",#N/A,FALSE,"June YTD"}</definedName>
    <definedName name="vol" hidden="1">{"CAP VOL",#N/A,FALSE,"CAPITAL";"CAP VAR",#N/A,FALSE,"CAPITAL";"CAP FIJ",#N/A,FALSE,"CAPITAL";"CAP CONS",#N/A,FALSE,"CAPITAL";"CAP DATA",#N/A,FALSE,"CAPITAL"}</definedName>
    <definedName name="vv" hidden="1">{"det (May)",#N/A,FALSE,"June";"sum (MAY YTD)",#N/A,FALSE,"June YTD"}</definedName>
    <definedName name="vvvv" hidden="1">{"det (May)",#N/A,FALSE,"June";"sum (MAY YTD)",#N/A,FALSE,"June YTD"}</definedName>
    <definedName name="vvvvvv" hidden="1">{"det (May)",#N/A,FALSE,"June";"sum (MAY YTD)",#N/A,FALSE,"June YTD"}</definedName>
    <definedName name="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" hidden="1">{"det (May)",#N/A,FALSE,"June";"sum (MAY YTD)",#N/A,FALSE,"June YTD"}</definedName>
    <definedName name="vvvvvvvvvvvvv" hidden="1">{"det (May)",#N/A,FALSE,"June";"sum (MAY YTD)",#N/A,FALSE,"June YTD"}</definedName>
    <definedName name="vvvvvvv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vvvvv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vvvvvvvvvvvvvvvv" hidden="1">{"det (May)",#N/A,FALSE,"June";"sum (MAY YTD)",#N/A,FALSE,"June YTD"}</definedName>
    <definedName name="vxvxcx" hidden="1">{"Cons_Occ_Lar",#N/A,FALSE,"márgenes";"Cen_met",#N/A,FALSE,"márgenes";"Ori_pl",#N/A,FALSE,"márgenes"}</definedName>
    <definedName name="vxwccccccccc" hidden="1">{"det (May)",#N/A,FALSE,"June";"sum (MAY YTD)",#N/A,FALSE,"June YTD"}</definedName>
    <definedName name="w" hidden="1">{#N/A,#N/A,FALSE,"Hoja1";#N/A,#N/A,FALSE,"Hoja2"}</definedName>
    <definedName name="was" hidden="1">{#N/A,#N/A,FALSE,"Aging Summary";#N/A,#N/A,FALSE,"Ratio Analysis";#N/A,#N/A,FALSE,"Test 120 Day Accts";#N/A,#N/A,FALSE,"Tickmarks"}</definedName>
    <definedName name="we" hidden="1">#REF!</definedName>
    <definedName name="weee" hidden="1">{#N/A,#N/A,FALSE,"PRECIO FULL";#N/A,#N/A,FALSE,"LARA";#N/A,#N/A,FALSE,"CARACAS";#N/A,#N/A,FALSE,"DISBRACENTRO";#N/A,#N/A,FALSE,"ANDES";#N/A,#N/A,FALSE,"MAR CARIBE";#N/A,#N/A,FALSE,"RIO BEER";#N/A,#N/A,FALSE,"DISBRAH"}</definedName>
    <definedName name="wer" hidden="1">{#N/A,#N/A,FALSE,"지침";#N/A,#N/A,FALSE,"환경분석";#N/A,#N/A,FALSE,"Sheet16"}</definedName>
    <definedName name="werftdsfgdfg" hidden="1">{"det (May)",#N/A,FALSE,"June";"sum (MAY YTD)",#N/A,FALSE,"June YTD"}</definedName>
    <definedName name="wewrew" hidden="1">{#N/A,#N/A,FALSE,"Hoja1";#N/A,#N/A,FALSE,"Hoja2"}</definedName>
    <definedName name="wgyerhy" hidden="1">{#N/A,#N/A,FALSE,"지침";#N/A,#N/A,FALSE,"환경분석";#N/A,#N/A,FALSE,"Sheet16"}</definedName>
    <definedName name="World_by_entity__REVIEWED__FooterType" hidden="1">"EXTERNAL"</definedName>
    <definedName name="World_by_entity__USD_WORKINGS__FooterType" hidden="1">"EXTERNAL"</definedName>
    <definedName name="WorldByPlanLocal_FooterType" hidden="1">"EXTERNAL"</definedName>
    <definedName name="WorldByPlanReport_FooterType" hidden="1">"EXTERNAL"</definedName>
    <definedName name="wrg.aug" hidden="1">{"det (May)",#N/A,FALSE,"June";"sum (MAY YTD)",#N/A,FALSE,"June YTD"}</definedName>
    <definedName name="WRGTEG" hidden="1">{#N/A,#N/A,FALSE,"BEER";#N/A,#N/A,FALSE,"WEST"}</definedName>
    <definedName name="wrn" hidden="1">{#N/A,#N/A,FALSE,"TOTAL"}</definedName>
    <definedName name="wrn.1" hidden="1">{#N/A,#N/A,FALSE,"GOLTZMAN"}</definedName>
    <definedName name="wrn.1._.Month._.vs._.LY." hidden="1">{"1",#N/A,FALSE,"X2BA"}</definedName>
    <definedName name="wrn.2" hidden="1">{#N/A,#N/A,FALSE,"HDCT SUM BACK UP(b-1 pg. 1)"}</definedName>
    <definedName name="wrn.2._.YTD._.vs._.LY." hidden="1">{"2",#N/A,FALSE,"X2BA"}</definedName>
    <definedName name="wrn.2000Base." hidden="1">{"a_assump1",#N/A,FALSE,"BPlan 96-00 - Base";"a_assump2",#N/A,FALSE,"BPlan 96-00 - Base";"a_plus",#N/A,FALSE,"BPlan 96-00 - Base";"a_bs",#N/A,FALSE,"BPlan 96-00 - Base";"a_cf",#N/A,FALSE,"BPlan 96-00 - Base";"a_irrbase",#N/A,FALSE,"BPlan 96-00 - Base";"a_notes",#N/A,FALSE,"BPlan 96-00 - Base"}</definedName>
    <definedName name="wrn.3._.STG._.vs._.LY." hidden="1">{"3",#N/A,FALSE,"X2BA"}</definedName>
    <definedName name="wrn.4._.Full._.Year._.vs._.LY." hidden="1">{"4",#N/A,FALSE,"X2BA"}</definedName>
    <definedName name="wrn.5._.Month._.vs._.BGT." hidden="1">{"5",#N/A,FALSE,"X2BA"}</definedName>
    <definedName name="wrn.6._.YTD._.vs._.BGT." hidden="1">{"6",#N/A,FALSE,"X2BA"}</definedName>
    <definedName name="wrn.7._.STG._.vs._.BGT." hidden="1">{"7",#N/A,FALSE,"X2BA"}</definedName>
    <definedName name="wrn.8._.Full._.Year._.vs._.BGT." hidden="1">{"8",#N/A,FALSE,"X2BA"}</definedName>
    <definedName name="wrn.97." hidden="1">{#N/A,#N/A,FALSE,"지침";#N/A,#N/A,FALSE,"환경분석";#N/A,#N/A,FALSE,"Sheet16"}</definedName>
    <definedName name="wrn.aaa.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wrn.ABSchd." hidden="1">{#N/A,#N/A,TRUE,"Sched 1";#N/A,#N/A,TRUE,"Sched 1.5";#N/A,#N/A,TRUE,"Sched 2";#N/A,#N/A,TRUE,"Sched 3";#N/A,#N/A,TRUE,"Sched 4";#N/A,#N/A,TRUE,"Sched 5";#N/A,#N/A,TRUE,"Sched 6";#N/A,#N/A,TRUE,"Sched 7";#N/A,#N/A,TRUE,"Sched 9";#N/A,#N/A,TRUE,"Sched 10";#N/A,#N/A,TRUE,"Sched 10.1";#N/A,#N/A,TRUE,"Sched 11";#N/A,#N/A,TRUE,"Sched 11.5";#N/A,#N/A,TRUE,"Sched 13";#N/A,#N/A,TRUE,"Sched 13.5";#N/A,#N/A,TRUE,"ABVolM";#N/A,#N/A,TRUE,"ABVolY";#N/A,#N/A,TRUE,"ABSLSUNT";#N/A,#N/A,TRUE,"Sched 12M";#N/A,#N/A,TRUE,"Sched 12Y"}</definedName>
    <definedName name="wrn.Aging._.and._.Trend._.Analysis." hidden="1">{#N/A,#N/A,FALSE,"Aging Summary";#N/A,#N/A,FALSE,"Ratio Analysis";#N/A,#N/A,FALSE,"Test 120 Day Accts";#N/A,#N/A,FALSE,"Tickmarks"}</definedName>
    <definedName name="wrn.ALL." hidden="1">{#N/A,#N/A,FALSE,"DCF";#N/A,#N/A,FALSE,"WACC";#N/A,#N/A,FALSE,"Sales_EBIT";#N/A,#N/A,FALSE,"Capex_Depreciation";#N/A,#N/A,FALSE,"WC";#N/A,#N/A,FALSE,"Interest";#N/A,#N/A,FALSE,"Assumptions"}</definedName>
    <definedName name="wrn.all._.schedules.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wrn.aug" hidden="1">{"det (May)",#N/A,FALSE,"June";"sum (MAY YTD)",#N/A,FALSE,"June YTD"}</definedName>
    <definedName name="wrn.augyt" hidden="1">{"det (May)",#N/A,FALSE,"June";"sum (MAY YTD)",#N/A,FALSE,"June YTD"}</definedName>
    <definedName name="wrn.augYTD" hidden="1">{"det (May)",#N/A,FALSE,"June";"sum (MAY YTD)",#N/A,FALSE,"June YTD"}</definedName>
    <definedName name="wrn.augYTDx" hidden="1">{"det (May)",#N/A,FALSE,"June";"sum (MAY YTD)",#N/A,FALSE,"June YTD"}</definedName>
    <definedName name="wrn.augytx" hidden="1">{"det (May)",#N/A,FALSE,"June";"sum (MAY YTD)",#N/A,FALSE,"June YTD"}</definedName>
    <definedName name="wrn.baker." hidden="1">{#N/A,#N/A,FALSE,"BAKER"}</definedName>
    <definedName name="wrn.BALANCE._.PARA._.LUIZ._.CLAUDIO." hidden="1">{#N/A,#N/A,FALSE,"Hoja1";#N/A,#N/A,FALSE,"Hoja2"}</definedName>
    <definedName name="wrn.Board._.Report." hidden="1">{#N/A,#N/A,FALSE,"BEER";#N/A,#N/A,FALSE,"WEST"}</definedName>
    <definedName name="wrn.brol.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.busch." hidden="1">{#N/A,#N/A,FALSE,"BUSCH"}</definedName>
    <definedName name="wrn.business." hidden="1">{"miles",#N/A,FALSE,"LUCROS E PERDAS (US$ 000)";"hl",#N/A,FALSE,"LUCROS E PERDAS (US$ 000)"}</definedName>
    <definedName name="wrn.cah" hidden="1">{#N/A,#N/A,FALSE,"BUSCH"}</definedName>
    <definedName name="wrn.capital._.schedules.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TODO." hidden="1">{"CAP VOL",#N/A,FALSE,"CAPITAL";"CAP VAR",#N/A,FALSE,"CAPITAL";"CAP FIJ",#N/A,FALSE,"CAPITAL";"CAP CONS",#N/A,FALSE,"CAPITAL";"CAP DATA",#N/A,FALSE,"CAPITAL"}</definedName>
    <definedName name="wrn.CHARTS." hidden="1">{"CLII",#N/A,TRUE,"CHARTS";"BLOCK",#N/A,TRUE,"CHARTS";"MW",#N/A,TRUE,"CHARTS"}</definedName>
    <definedName name="wrn.CON_DESCUENTO." hidden="1">{#N/A,"Carabeer",FALSE,"Dscto.";#N/A,"Disbracentro",FALSE,"Dscto.";#N/A,"Río Beer",FALSE,"Dscto.";#N/A,"Andes",FALSE,"Dscto."}</definedName>
    <definedName name="wrn.CURRENT." hidden="1">{#N/A,#N/A,FALSE,"CURRENT"}</definedName>
    <definedName name="wrn.DCFEpervier.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IRETRIZ." hidden="1">{#N/A,#N/A,FALSE,"ROTINA";#N/A,#N/A,FALSE,"ITENS";#N/A,#N/A,FALSE,"ACOMP"}</definedName>
    <definedName name="wrn.DOMESTIQUES." hidden="1">{"res_est",#N/A,FALSE,"Domestiques";"pm_trim",#N/A,FALSE,"Domestiques";"pm_mois",#N/A,FALSE,"Domestiques";"pm_3_6_12",#N/A,FALSE,"Domestiques";"mensuel",#N/A,FALSE,"Domestiques"}</definedName>
    <definedName name="wrn.Early._.Tie._.Out." hidden="1">{"Flash",#N/A,FALSE,"FLASH97";"Flash_96",#N/A,FALSE,"FLASH97";"flashytd",#N/A,FALSE,"FLASH97";"flashytd_96",#N/A,FALSE,"FLASH97"}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xecutive._.Reports." hidden="1">{#N/A,#N/A,FALSE,"Year";#N/A,#N/A,FALSE,"Client Savings";#N/A,#N/A,FALSE,"Staged Delivery by Hour";#N/A,#N/A,FALSE,"Hourly Rate By Activity";#N/A,#N/A,FALSE,"Hourly Rate By Custom Resource";#N/A,#N/A,FALSE,"Line of Business Review";#N/A,#N/A,FALSE,"Financials By Custom Resource";#N/A,#N/A,FALSE,"Assumptions";#N/A,#N/A,FALSE,"Sensitivity Analysis";#N/A,#N/A,FALSE,"Financing By Year";#N/A,#N/A,FALSE,"Billings";#N/A,#N/A,FALSE,"Overall Staffing Review"}</definedName>
    <definedName name="wrn.executive._.summary." hidden="1">{"ex sum oth brnds",#N/A,FALSE,"Baking - retail"}</definedName>
    <definedName name="wrn.Financials." hidden="1">{#N/A,#N/A,FALSE,"Year";#N/A,#N/A,FALSE,"AC Fiscal Year";#N/A,#N/A,FALSE,"Financials By Line of Business";#N/A,#N/A,FALSE,"Line of Business Review";#N/A,#N/A,FALSE,"Activity Review";#N/A,#N/A,FALSE,"Financials By Custom Resource";#N/A,#N/A,FALSE,"Custom Resource Review"}</definedName>
    <definedName name="wrn.Flash._.comments." hidden="1">{#N/A,#N/A,TRUE,"Cover page";#N/A,#N/A,TRUE,"Activity";#N/A,#N/A,TRUE,"Month Financials";#N/A,#N/A,TRUE,"Fixed costs";#N/A,#N/A,TRUE,"Operating Profit reconciliation";#N/A,#N/A,TRUE,"YTD Financials"}</definedName>
    <definedName name="wrn.Flash._.Package." hidden="1">{"BU_CM",#N/A,FALSE,"FLASH97";"BU_YTD",#N/A,FALSE,"FLASH97";"Flash",#N/A,FALSE,"FLASH97";"Flash_96",#N/A,FALSE,"FLASH97";"Flash_sum",#N/A,FALSE,"FLASH97";"flashytd",#N/A,FALSE,"FLASH97";"flashytd_96",#N/A,FALSE,"FLASH97"}</definedName>
    <definedName name="wrn.gestion." hidden="1">{#N/A,#N/A,FALSE,"PRODMAL";#N/A,#N/A,FALSE,"DESPMAL";#N/A,#N/A,FALSE,"DESPCLIE";#N/A,#N/A,FALSE,"STOCKMAL";#N/A,#N/A,FALSE,"RENDCOS";#N/A,#N/A,FALSE,"RENDMES";#N/A,#N/A,FALSE,"GAS";#N/A,#N/A,FALSE,"STOCKCEB";#N/A,#N/A,FALSE,"ENERGIA";#N/A,#N/A,FALSE,"AGUA";#N/A,#N/A,FALSE,"PRODUCT."}</definedName>
    <definedName name="wrn.goltzman." hidden="1">{#N/A,#N/A,FALSE,"GOLTZMAN"}</definedName>
    <definedName name="wrn.HDCT._.SUMM._.BACKUP." hidden="1">{#N/A,#N/A,FALSE,"HDCT SUM BACK UP(b-1 pg. 1)"}</definedName>
    <definedName name="wrn.HEAD._.COUNT._.BUDGET._.CHANG." hidden="1">{#N/A,#N/A,FALSE,"HEAD CT BUDGET CHANGES(c-3)"}</definedName>
    <definedName name="wrn.Hennes._.and._.Mauritz." hidden="1">{#N/A,#N/A,FALSE,"Front page";"H&amp;M DCF and EVA Analysis",#N/A,FALSE,"Front page";"H&amp;M Cash Flow Statement",#N/A,FALSE,"Front page";"H&amp;M Balance Sheet",#N/A,FALSE,"Front page";"H&amp;M Quarterly Income Statement",#N/A,FALSE,"Front page";"H&amp;M Income Statement",#N/A,FALSE,"Front page";"H&amp;M Quarterly Sales Analysis",#N/A,FALSE,"Front page";"H&amp;M Sales Analysis",#N/A,FALSE,"Front page"}</definedName>
    <definedName name="wrn.IMPRESION." hidden="1">{#N/A,#N/A,FALSE,"Hoja1";#N/A,#N/A,FALSE,"Hoja2"}</definedName>
    <definedName name="WRN.INCOME." hidden="1">{#N/A,#N/A,FALSE,"FINAL"}</definedName>
    <definedName name="wrn.INCOME1." hidden="1">{#N/A,#N/A,FALSE,"FINAL"}</definedName>
    <definedName name="wrn.income2" hidden="1">{#N/A,#N/A,FALSE,"FINAL"}</definedName>
    <definedName name="wrn.INCOME2." hidden="1">{#N/A,#N/A,FALSE,"FINAL"}</definedName>
    <definedName name="WRN.INCOME3." hidden="1">{#N/A,#N/A,FALSE,"FINAL"}</definedName>
    <definedName name="WRN.INCOME4" hidden="1">{#N/A,#N/A,FALSE,"FINAL"}</definedName>
    <definedName name="wrn.IND_TOTALE." hidden="1">{"resume",#N/A,FALSE,"Industrie Totale";"Variations cum",#N/A,FALSE,"Industrie Totale";"comptrim",#N/A,FALSE,"Industrie Totale";"compmois",#N/A,FALSE,"Industrie Totale";"pm_3_6_12",#N/A,FALSE,"Industrie Totale";"mensuel",#N/A,FALSE,"Industrie Totale"}</definedName>
    <definedName name="wrn.Inv_Summary." hidden="1">{"Entire Spreadsheet",#N/A,FALSE,"ACCTLIST";"Invoices",#N/A,FALSE,"ACCTLIST"}</definedName>
    <definedName name="wrn.jacob." hidden="1">{#N/A,#N/A,FALSE,"jacob"}</definedName>
    <definedName name="wrn.June." hidden="1">{"det (May)",#N/A,FALSE,"June";"sum (MAY YTD)",#N/A,FALSE,"June YTD"}</definedName>
    <definedName name="wrn.Jury." hidden="1">{#N/A,#N/A,FALSE,"Year";#N/A,#N/A,FALSE,"AC Fiscal Year";#N/A,#N/A,FALSE,"Hourly Rate By Activity";#N/A,#N/A,FALSE,"Hourly Rate By Custom Resource";#N/A,#N/A,FALSE,"Sensitivity Analysis";#N/A,#N/A,FALSE,"Overall Staffing Review"}</definedName>
    <definedName name="wrn.kloth." hidden="1">{#N/A,#N/A,FALSE,"KLOTH"}</definedName>
    <definedName name="wrn.lambright." hidden="1">{#N/A,#N/A,FALSE,"LAMBRIGHT"}</definedName>
    <definedName name="wrn.Level._.4." hidden="1">{"Income (All hidden)",#N/A,FALSE,"Income";"EPS (All Hidden)",#N/A,FALSE,"EPS";"Cash Flow (All Hidden)",#N/A,FALSE,"CashFlow";"Quarterly (Last, Current and Next)",#N/A,FALSE,"Quarterly";"Inventory",#N/A,FALSE,"Inventory";"Other Section",#N/A,FALSE,"Detail Qtrly";"Dividend (All Hidden)",#N/A,FALSE,"Dividend";"ROE (All Hidden)",#N/A,FALSE,"Return On Equity";"FinRatio",#N/A,FALSE,"Financials &amp; Ratios"}</definedName>
    <definedName name="wrn.litteken." hidden="1">{#N/A,#N/A,FALSE,"A. H. LITTEKEN"}</definedName>
    <definedName name="wrn.Long._.Report." hidden="1">{#N/A,#N/A,TRUE,"Cover";#N/A,#N/A,TRUE,"Header (ld)";#N/A,#N/A,TRUE,"T&amp;O By Region";#N/A,#N/A,TRUE,"Region Charts ";#N/A,#N/A,TRUE,"T&amp;O London";#N/A,#N/A,TRUE,"AD Report";#N/A,#N/A,TRUE,"Var by OU"}</definedName>
    <definedName name="wrn.MAJ_OSBC." hidden="1">{"res_est",#N/A,FALSE,"Majeures + OSBC";"Variations cum",#N/A,FALSE,"Majeures + OSBC";"pm_trim",#N/A,FALSE,"Majeures + OSBC";"pm_mois",#N/A,FALSE,"Majeures + OSBC";"pm_3_6_12",#N/A,FALSE,"Majeures + OSBC";"mensuel",#N/A,FALSE,"Majeures + OSBC"}</definedName>
    <definedName name="wrn.MAJ_SANS_OSBC." hidden="1">{"res_est",#N/A,FALSE,"Majeures";"pm_trim",#N/A,FALSE,"Majeures";"pm_mois",#N/A,FALSE,"Majeures";"pm_3_6_12",#N/A,FALSE,"Majeures";"mensuel",#N/A,FALSE,"Majeures"}</definedName>
    <definedName name="wrn.MARG." hidden="1">{"Cons_Occ_Lar",#N/A,FALSE,"márgenes";"Cen_met",#N/A,FALSE,"márgenes";"Ori_pl",#N/A,FALSE,"márgenes"}</definedName>
    <definedName name="wrn.Metas96." hidden="1">{"Prenissas",#N/A,FALSE,"Consolidado (3)";"Lucros000",#N/A,FALSE,"Consolidado (3)";"LucrosHL",#N/A,FALSE,"Consolidado (3)";"Balanco",#N/A,FALSE,"Consolidado (3)";"FluxoC",#N/A,FALSE,"Consolidado (3)"}</definedName>
    <definedName name="wrn.Model._.Level._.3." hidden="1">{"Income (All hidden)",#N/A,FALSE,"Income";"EPS (All Hidden)",#N/A,FALSE,"EPS";"EPS (All Hidden)",#N/A,FALSE,"CashFlow";"Quarterly (Last, Current and Next)",#N/A,FALSE,"Quarterly"}</definedName>
    <definedName name="wrn.month" hidden="1">{#N/A,#N/A,FALSE,"Prairies";#N/A,#N/A,FALSE,"AB - North";#N/A,#N/A,FALSE,"AB - South";#N/A,#N/A,FALSE,"Manitoba";#N/A,#N/A,FALSE,"Saskatchewan"}</definedName>
    <definedName name="wrn.Month." hidden="1">{#N/A,#N/A,FALSE,"Comp Balance";#N/A,#N/A,FALSE,"Sum Balance ";#N/A,#N/A,FALSE,"Balance Trend";#N/A,#N/A,FALSE,"Comp PL";#N/A,#N/A,FALSE,"PL";#N/A,#N/A,FALSE,"Sum PL";#N/A,#N/A,FALSE,"PL Trend";#N/A,#N/A,FALSE,"Change"}</definedName>
    <definedName name="wrn.Monthly." hidden="1">{#N/A,#N/A,FALSE,"Prairies";#N/A,#N/A,FALSE,"AB - North";#N/A,#N/A,FALSE,"AB - South";#N/A,#N/A,FALSE,"Manitoba";#N/A,#N/A,FALSE,"Saskatchewan"}</definedName>
    <definedName name="wrn.monthly._.production._.report." hidden="1">{#N/A,#N/A,TRUE,"recap";"variable",#N/A,TRUE,"variable";"usages",#N/A,TRUE,"usages";"volume",#N/A,TRUE,"volume";"quantity",#N/A,TRUE,"quantity";"total cost",#N/A,TRUE,"cost";"purchase price",#N/A,TRUE,"purchase";"production",#N/A,TRUE,"prod";"saf. qual.",#N/A,TRUE,"safqual"}</definedName>
    <definedName name="wrn.Objetivos._.diarios." hidden="1">{#N/A,#N/A,FALSE,"Objetivos"}</definedName>
    <definedName name="wrn.PAGE2." hidden="1">{#N/A,#N/A,FALSE,"PG2OF4"}</definedName>
    <definedName name="wrn.PAGE3." hidden="1">{#N/A,#N/A,FALSE,"PG3OF4"}</definedName>
    <definedName name="wrn.PAGE4." hidden="1">{#N/A,#N/A,FALSE,"PG4OF4"}</definedName>
    <definedName name="wrn.payback." hidden="1">{"payback",#N/A,FALSE,"Wirtschaftlichkeitsberechnung"}</definedName>
    <definedName name="wrn.payback2." hidden="1">{"payback2",#N/A,FALSE,"Wirtschaftlichkeitsberechnung"}</definedName>
    <definedName name="wrn.PEP._.Measurement._.Report." hidden="1">{#N/A,#N/A,FALSE,"BBPREP"}</definedName>
    <definedName name="wrn.Plan._.2007." hidden="1">{#N/A,#N/A,FALSE,"CBSA 2007";#N/A,#N/A,FALSE,"Habana";#N/A,#N/A,FALSE,"Matanzas";#N/A,#N/A,FALSE,"Ciego";#N/A,#N/A,FALSE,"Holguín";#N/A,#N/A,FALSE,"Santiago"}</definedName>
    <definedName name="wrn.PRINT._.ALL." hidden="1">{#N/A,#N/A,FALSE,"CURRENT";#N/A,#N/A,FALSE,"PG2OF4";#N/A,#N/A,FALSE,"PG3OF4";#N/A,#N/A,FALSE,"PG4OF4"}</definedName>
    <definedName name="wrn.ptp." hidden="1">{#N/A,#N/A,FALSE,"RELATÓRIO";#N/A,#N/A,FALSE,"RELATÓRIO"}</definedName>
    <definedName name="wrn.purnell." hidden="1">{#N/A,#N/A,FALSE,"purnell"}</definedName>
    <definedName name="wrn.rammes." hidden="1">{#N/A,#N/A,FALSE,"RAMMES"}</definedName>
    <definedName name="wrn.Rapport._.1." hidden="1">{"Résumé mensuel",#N/A,FALSE,"Quotas mensuels de production";"Maitresse",#N/A,FALSE,"Feuille Maîtresse"}</definedName>
    <definedName name="wrn.Rate._.Reports." hidden="1">{#N/A,#N/A,FALSE,"Monthly Rate By Activity";#N/A,#N/A,FALSE,"Hourly Rate By Activity";#N/A,#N/A,FALSE,"Monthly Rate By Custom Resource";#N/A,#N/A,FALSE,"Hourly Rate By Custom Resource"}</definedName>
    <definedName name="wrn.REAL." hidden="1">{"Real",#N/A,FALSE,"CONSOLIDADO";"Real",#N/A,FALSE,"OCCIDENTE";"Real",#N/A,FALSE,"LARA";"Real",#N/A,FALSE,"CENTRO";"Real",#N/A,FALSE,"METROPOLITANA";"Real",#N/A,FALSE,"ORIENTE";"Real",#N/A,FALSE,"Pto.libre"}</definedName>
    <definedName name="wrn.RÉDUCTIONS." hidden="1">{"mat",#N/A,FALSE,"REVLRP";"LAB",#N/A,FALSE,"REVLRP";"FRI",#N/A,FALSE,"REVLRP";"DIST",#N/A,FALSE,"REVLRP";"util",#N/A,FALSE,"REVLRP";"fix",#N/A,FALSE,"REVLRP";"fin",#N/A,FALSE,"REVLRP";"infl",#N/A,FALSE,"REVLRP";"misc",#N/A,FALSE,"REVLRP"}</definedName>
    <definedName name="wrn.report." hidden="1">{#N/A,#N/A,FALSE,"Summary"}</definedName>
    <definedName name="wrn.REPORT1." hidden="1">{"ABC BY MONTH",#N/A,TRUE,"1998ACTPROJ"}</definedName>
    <definedName name="wrn.report2." hidden="1">{#N/A,#N/A,FALSE,"Total";#N/A,#N/A,FALSE,"Beverages";#N/A,#N/A,FALSE,"Cheese";#N/A,#N/A,FALSE,"Desserts";#N/A,#N/A,FALSE,"Enhancers";#N/A,#N/A,FALSE,"Coffee";#N/A,#N/A,FALSE,"Meals";#N/A,#N/A,FALSE,"Oscar";#N/A,#N/A,FALSE,"Post";#N/A,#N/A,FALSE,"Bakery";#N/A,#N/A,FALSE,"Foodservice";#N/A,#N/A,FALSE,"Pizza";#N/A,#N/A,FALSE,"Ingredients";#N/A,#N/A,FALSE,"Operations";#N/A,#N/A,FALSE,"Sales";#N/A,#N/A,FALSE,"Marketing";#N/A,#N/A,FALSE,"R&amp;D";#N/A,#N/A,FALSE,"Systems";#N/A,#N/A,FALSE,"Headquarters";#N/A,#N/A,FALSE,"Other"}</definedName>
    <definedName name="wrn.Reporte._.1." hidden="1">{#N/A,#N/A,FALSE,"PRECIO FULL";#N/A,#N/A,FALSE,"LARA";#N/A,#N/A,FALSE,"CARACAS";#N/A,#N/A,FALSE,"DISBRACENTRO";#N/A,#N/A,FALSE,"ANDES";#N/A,#N/A,FALSE,"MAR CARIBE";#N/A,#N/A,FALSE,"RIO BEER";#N/A,#N/A,FALSE,"DISBRAH"}</definedName>
    <definedName name="wrn.Reporte._.de._.Ventas._.Diario." hidden="1">{#N/A,#N/A,TRUE,"CBSA";#N/A,#N/A,TRUE,"Habana ";#N/A,#N/A,TRUE,"Matanzas";#N/A,#N/A,TRUE,"Ciego";#N/A,#N/A,TRUE,"Holguín";#N/A,#N/A,TRUE,"Santiago de Cuba";#N/A,#N/A,TRUE,"Fábrica"}</definedName>
    <definedName name="wrn.Restructuring._.Report." hidden="1">{#N/A,#N/A,FALSE,"Restructure"}</definedName>
    <definedName name="wrn.Resume." hidden="1">{"res_est",#N/A,FALSE,"Majeures + OSBC";"res_est",#N/A,FALSE,"Domestiques";"resume",#N/A,FALSE,"Industrie Totale";"res_est",#N/A,FALSE,"Majeures"}</definedName>
    <definedName name="wrn.RESUMEN." hidden="1">{"RESUMEN",#N/A,FALSE,"RESUMEN";"RESUMEN_MARG",#N/A,FALSE,"RESUMEN"}</definedName>
    <definedName name="wrn.RGD_BG_FC." hidden="1">{#N/A,#N/A,FALSE,"RGD$";#N/A,#N/A,FALSE,"BG$";#N/A,#N/A,FALSE,"FC$"}</definedName>
    <definedName name="wrn.Rippert." hidden="1">{#N/A,#N/A,FALSE,"Year";#N/A,#N/A,FALSE,"AC Fiscal Year";#N/A,#N/A,FALSE,"Hourly Rate By Activity";#N/A,#N/A,FALSE,"Hourly Rate By Custom Resource";#N/A,#N/A,FALSE,"Line of Business Review";#N/A,#N/A,FALSE,"Assumptions";#N/A,#N/A,FALSE,"Sensitivity Analysis";#N/A,#N/A,FALSE,"Overall Staffing Review"}</definedName>
    <definedName name="wrn.roberts." hidden="1">{#N/A,#N/A,FALSE,"roberts"}</definedName>
    <definedName name="wrn.SAL._.EXP._.SUM._.BACK._.UP." hidden="1">{#N/A,#N/A,FALSE,"SAL EXP SUM BACK UP"}</definedName>
    <definedName name="wrn.santel." hidden="1">{#N/A,#N/A,FALSE,"santel"}</definedName>
    <definedName name="wrn.Short._.Report." hidden="1">{#N/A,#N/A,TRUE,"Cover";#N/A,#N/A,TRUE,"Header (eu)";#N/A,#N/A,TRUE,"Region Charts";#N/A,#N/A,TRUE,"T&amp;O By Region";#N/A,#N/A,TRUE,"AD Report"}</definedName>
    <definedName name="wrn.SOMMAIRE." hidden="1">{"MOIS",#N/A,FALSE,"Som. B.V";"CUMUL",#N/A,FALSE,"Som. B.V"}</definedName>
    <definedName name="wrn.Staffing." hidden="1">{#N/A,#N/A,FALSE,"Assessment";#N/A,#N/A,FALSE,"Staffing";#N/A,#N/A,FALSE,"Hires";#N/A,#N/A,FALSE,"Assumptions"}</definedName>
    <definedName name="wrn.Staffing._.Inputs." hidden="1">{#N/A,#N/A,FALSE,"Overall Staffing Review";#N/A,#N/A,FALSE,"Detailed Resource Mix Review";#N/A,#N/A,FALSE,"Detailed Pyramid Review";#N/A,#N/A,FALSE,"Hours By Activity";#N/A,#N/A,FALSE,"Hours By Custom Resource"}</definedName>
    <definedName name="wrn.Staffing1" hidden="1">{#N/A,#N/A,FALSE,"Assessment";#N/A,#N/A,FALSE,"Staffing";#N/A,#N/A,FALSE,"Hires";#N/A,#N/A,FALSE,"Assumptions"}</definedName>
    <definedName name="wrn.SUB._.EXPENSE._.SUMM." hidden="1">{#N/A,#N/A,FALSE,"SUB EXPENSE(c-2)"}</definedName>
    <definedName name="wrn.SUBSIDIARY._.HEAD._.COUNT." hidden="1">{#N/A,#N/A,FALSE,"SUB HEAD CT(c-1)"}</definedName>
    <definedName name="wrn.summary." hidden="1">{#N/A,#N/A,FALSE,"HDCT SUMMARY";#N/A,#N/A,FALSE,"$ SUMMARY"}</definedName>
    <definedName name="wrn.Supplemental._.Information." hidden="1">{#N/A,#N/A,FALSE,"Assumptions";#N/A,#N/A,FALSE,"DNP Expense Summary";#N/A,#N/A,FALSE,"Sensitivity Analysis"}</definedName>
    <definedName name="wrn.Tabla._.PL." hidden="1">{#N/A,#N/A,FALSE,"P.L.Full";#N/A,#N/A,FALSE,"P.L.Desc."}</definedName>
    <definedName name="wrn.TEND.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wrn.Tend2000." hidden="1">{"bs",#N/A,FALSE,"Consolidado";"cf",#N/A,FALSE,"Consolidado";"pl_hl",#N/A,FALSE,"Consolidado";"pl_us",#N/A,FALSE,"Consolidado";"Prem1",#N/A,FALSE,"Consolidado"}</definedName>
    <definedName name="wrn.Tendencia._.Año." hidden="1">{#N/A,#N/A,FALSE,"FIN AÑO"}</definedName>
    <definedName name="wrn.tobacco_charts." hidden="1">{#N/A,#N/A,FALSE,"L&amp;M Performance";#N/A,#N/A,FALSE,"Brand Performance";#N/A,#N/A,FALSE,"Marlboro Performance"}</definedName>
    <definedName name="wrn.Todas._.las._.tablas." hidden="1">{#N/A,#N/A,FALSE,"Resumen";#N/A,#N/A,FALSE,"Full";#N/A,"Carabeer",FALSE,"Dscto.";#N/A,"Disbracentro",FALSE,"Dscto.";#N/A,"Andes",FALSE,"Dscto.";#N/A,"Mar Caribe",FALSE,"Dscto.";#N/A,"Río Beer",FALSE,"Dscto.";#N/A,#N/A,FALSE,"P.L.Full";#N/A,#N/A,FALSE,"P.L.Desc."}</definedName>
    <definedName name="wrn.total." hidden="1">{#N/A,#N/A,FALSE,"TOTAL"}</definedName>
    <definedName name="wrn.tudo." hidden="1">{"prem1",#N/A,FALSE,"Consolidado";"pl_us",#N/A,FALSE,"Consolidado";"pl_hl",#N/A,FALSE,"Consolidado";"bs",#N/A,FALSE,"Consolidado";"cf",#N/A,FALSE,"Consolidado"}</definedName>
    <definedName name="wrn.Ventas._.diarias." hidden="1">{#N/A,#N/A,FALSE,"Vtas. diarias"}</definedName>
    <definedName name="wrn.Ventas._.semanales." hidden="1">{#N/A,#N/A,FALSE,"Gráf. semanal "}</definedName>
    <definedName name="wrn.VIP." hidden="1">{"total",#N/A,FALSE,"TOTAL $";"totalhl",#N/A,FALSE,"TOTAL $HL";"vol",#N/A,FALSE,"VOLUMEN";"xprod1",#N/A,FALSE,"X PROD";"xprod2",#N/A,FALSE,"X PROD";"finaño1",#N/A,FALSE,"FIN AÑO Meta";"finaño2",#N/A,FALSE,"FIN AÑO Meta"}</definedName>
    <definedName name="wrn.World._.Imports." hidden="1">{#N/A,#N/A,FALSE,"WLDIMPS"}</definedName>
    <definedName name="wrn1.aug" hidden="1">{"det (May)",#N/A,FALSE,"June";"sum (MAY YTD)",#N/A,FALSE,"June YTD"}</definedName>
    <definedName name="wrn1.augtyd" hidden="1">{"det (May)",#N/A,FALSE,"June";"sum (MAY YTD)",#N/A,FALSE,"June YTD"}</definedName>
    <definedName name="wrn1.augyt" hidden="1">{"det (May)",#N/A,FALSE,"June";"sum (MAY YTD)",#N/A,FALSE,"June YTD"}</definedName>
    <definedName name="wrn1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1.june" hidden="1">{"det (May)",#N/A,FALSE,"June";"sum (MAY YTD)",#N/A,FALSE,"June YTD"}</definedName>
    <definedName name="wrn2.brol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rn2.june" hidden="1">{"det (May)",#N/A,FALSE,"June";"sum (MAY YTD)",#N/A,FALSE,"June YTD"}</definedName>
    <definedName name="wrs" hidden="1">{#N/A,#N/A,FALSE,"Assessment";#N/A,#N/A,FALSE,"Staffing";#N/A,#N/A,FALSE,"Hires";#N/A,#N/A,FALSE,"Assumptions"}</definedName>
    <definedName name="wvu.Complet." hidden="1">{TRUE,TRUE,-1.25,-15.5,604.5,348,FALSE,TRUE,TRUE,TRUE,0,1,#N/A,1,#N/A,17.7837837837838,21.1538461538462,1,FALSE,FALSE,3,TRUE,1,FALSE,75,"Swvu.Complet.","ACwvu.Complet.",1,FALSE,FALSE,0,0,0.9,0.69,2,"&amp;LLe &amp;D&amp;C&amp;""MS Sans Serif""&amp;12&amp;B&amp;UPROPORTIONS DES EMBALLAGES PAR MARQUES POUR LA PRODUCTION F94","&amp;LX:\APLII\SPV\&amp;F&amp;CPage &amp;P de &amp;N",TRUE,FALSE,FALSE,FALSE,1,100,#N/A,#N/A,"=R3C2:R164C73","=C1,R1",#N/A,#N/A,TRUE,FALSE}</definedName>
    <definedName name="wvu.Maitresse." hidden="1">{TRUE,TRUE,-1.25,-17.75,868.5,570,FALSE,TRUE,TRUE,TRUE,0,1,#N/A,183,343,18.38,34.7647058823529,1,FALSE,TRUE,3,TRUE,1,FALSE,78,"Swvu.Maitresse.","ACwvu.Maitresse.",#N/A,FALSE,FALSE,0.196850393700787,0.2,0.748031496062992,0.78740157480315,2,"&amp;C&amp;""Elephant,Regular""&amp;14QUEBEC MONTHLY SALES FORECAST CBP C 1996","&amp;LD:\SPV96CCBP\&amp;F&amp;C&amp;P DE &amp;N&amp;R&amp;D &amp;T",TRUE,FALSE,FALSE,FALSE,1,60,#N/A,#N/A,"=R1C1:R348C18",FALSE,#N/A,#N/A,TRUE,FALSE,FALSE,1,#N/A,#N/A,FALSE,FALSE,TRUE,TRUE,TRUE}</definedName>
    <definedName name="wvu.Résumé._.mensuel." hidden="1">{TRUE,TRUE,7.75,3.25,853.5,544.5,FALSE,TRUE,TRUE,TRUE,0,1,#N/A,12,#N/A,15.4495412844037,34.6470588235294,1,FALSE,FALSE,1,TRUE,1,FALSE,100,"Swvu.Résumé._.mensuel.","ACwvu.Résumé._.mensuel.",1,FALSE,FALSE,0.3,0.2,0.79,0.66,2,"&amp;LLe &amp;D&amp;C&amp;12&amp;B&amp;UQuotas mensuels de production&amp;RÀ: &amp;T","&amp;LD:\SPV96CCBP\&amp;F&amp;A&amp;CPage &amp;P",TRUE,FALSE,FALSE,FALSE,1,80,#N/A,#N/A,"=R1C1:R78C14",FALSE,#N/A,#N/A,TRUE,FALSE,FALSE,1,#N/A,#N/A,FALSE,FALSE,TRUE,TRUE,TRUE}</definedName>
    <definedName name="wvu.steve." hidden="1">{TRUE,TRUE,-1.25,-15.5,772.5,493.5,FALSE,TRUE,TRUE,TRUE,0,20,#N/A,1,#N/A,8.65625,35.2941176470588,1,FALSE,FALSE,3,TRUE,1,FALSE,100,"Swvu.steve.","ACwvu.steve.",#N/A,FALSE,FALSE,0.75,0.75,1,1,1,"&amp;A","Page &amp;P",FALSE,FALSE,FALSE,TRUE,1,100,#N/A,#N/A,FALSE,FALSE,#N/A,#N/A,FALSE,FALSE,FALSE,1,600,600,FALSE,FALSE,TRUE,TRUE,TRUE}</definedName>
    <definedName name="wvu.Trimestre1." hidden="1">{TRUE,TRUE,-1.25,-15.5,604.5,348,FALSE,TRUE,TRUE,TRUE,0,2,#N/A,1,#N/A,19.5714285714286,21.0384615384615,1,FALSE,FALSE,3,TRUE,1,FALSE,75,"Swvu.Trimestre1.","ACwvu.Trimestre1.",1,FALSE,FALSE,0,0,0.9,0.69,2,"&amp;LLe &amp;D&amp;C&amp;""MS Sans Serif""&amp;12&amp;B&amp;UPROPORTIONS DES EMBALLAGES PAR MARQUES POUR LA PRODUCTION F94","&amp;LX:\APLII\SPV\&amp;F&amp;CPage &amp;P de &amp;N",TRUE,FALSE,FALSE,FALSE,1,90,#N/A,#N/A,"=R3C2:R164C19","=C1,R1",#N/A,#N/A,TRUE,FALSE}</definedName>
    <definedName name="wvu.Trimestre2." hidden="1">{TRUE,TRUE,-1.25,-15.5,604.5,348,FALSE,TRUE,TRUE,TRUE,0,19,#N/A,1,#N/A,18.9714285714286,21.0384615384615,1,FALSE,FALSE,3,TRUE,1,FALSE,75,"Swvu.Trimestre2.","ACwvu.Trimestre2.",1,FALSE,FALSE,0,0,0.9,0.69,2,"&amp;LLe &amp;D&amp;C&amp;""MS Sans Serif""&amp;12&amp;B&amp;UPROPORTIONS DES EMBALLAGES PAR MARQUES POUR LA PRODUCTION F94","&amp;LX:\APLII\SPV\&amp;F&amp;CPage &amp;P de &amp;N",TRUE,FALSE,FALSE,FALSE,1,85,#N/A,#N/A,"=R3C20:R164C37","=C1,R1",#N/A,#N/A,TRUE,FALSE}</definedName>
    <definedName name="wvu.Trimestre3." hidden="1">{TRUE,TRUE,-1.25,-15.5,604.5,348,FALSE,TRUE,TRUE,TRUE,0,38,#N/A,1,#N/A,18.390243902439,21.1538461538462,1,FALSE,FALSE,3,TRUE,1,FALSE,75,"Swvu.Trimestre3.","ACwvu.Trimestre3.",1,FALSE,FALSE,0,0,0.9,0.69,2,"&amp;LLe &amp;D&amp;C&amp;""MS Sans Serif""&amp;12&amp;B&amp;UPROPORTIONS DES EMBALLAGES PAR MARQUES POUR LA PRODUCTION F94","&amp;LX:\APLII\SPV\&amp;F&amp;CPage &amp;P de &amp;N",TRUE,FALSE,FALSE,FALSE,1,100,#N/A,#N/A,"=R3C38:R164C55","=C1,R1",#N/A,#N/A,TRUE,FALSE}</definedName>
    <definedName name="wvu.Trimestre4." hidden="1">{TRUE,TRUE,-1.25,-15.5,604.5,348,FALSE,TRUE,TRUE,TRUE,0,55,#N/A,1,#N/A,19.3333333333333,21.1538461538462,1,FALSE,FALSE,3,TRUE,1,FALSE,75,"Swvu.Trimestre4.","ACwvu.Trimestre4.",1,FALSE,FALSE,0,0,0.9,0.69,2,"&amp;LLe &amp;D&amp;C&amp;""MS Sans Serif""&amp;12&amp;B&amp;UPROPORTIONS DES EMBALLAGES PAR MARQUES POUR LA PRODUCTION F94","&amp;LX:\APLII\SPV\&amp;F&amp;CPage &amp;P de &amp;N",TRUE,FALSE,FALSE,FALSE,1,100,#N/A,#N/A,"=R3C56:R164C73","=C1,R1",#N/A,#N/A,TRUE,FALSE}</definedName>
    <definedName name="ww" hidden="1">{"det (May)",#N/A,FALSE,"June";"sum (MAY YTD)",#N/A,FALSE,"June YTD"}</definedName>
    <definedName name="www" hidden="1">{"tend1",#N/A,FALSE,"CONSOLIDADO";"tend2",#N/A,FALSE,"CONSOLIDADO";"tend3",#N/A,FALSE,"CONSOLIDADO";"tend1",#N/A,FALSE,"OCCIDENTE";"tend2",#N/A,FALSE,"OCCIDENTE";"tend3",#N/A,FALSE,"OCCIDENTE";"tend1",#N/A,FALSE,"LARA";"tend2",#N/A,FALSE,"LARA";"tend3",#N/A,FALSE,"LARA";"tend1",#N/A,FALSE,"CENTRO";"tend2",#N/A,FALSE,"CENTRO";"tend3",#N/A,FALSE,"CENTRO";"tend1",#N/A,FALSE,"METROPOLITANA";"tend2",#N/A,FALSE,"METROPOLITANA";"tend3",#N/A,FALSE,"METROPOLITANA";"tend1",#N/A,FALSE,"ORIENTE";"tend2",#N/A,FALSE,"ORIENTE";"tend3",#N/A,FALSE,"ORIENTE";"tend1",#N/A,FALSE,"Pto.libre";"tend2",#N/A,FALSE,"Pto.libre";"tend3",#N/A,FALSE,"Pto.libre"}</definedName>
    <definedName name="WX" hidden="1">{#N/A,#N/A,FALSE,"REPORTING STABILIMENTI";#N/A,#N/A,FALSE,"DEPOSITI FIDUCIARI";#N/A,#N/A,FALSE,"RIFORNIMENTO DEPOSITI FIDUCIARI";#N/A,#N/A,FALSE,"COSTI ANALITICI F-F  F-D";#N/A,#N/A,FALSE,"INDICI DEI COSTI TRASPORTO";#N/A,#N/A,FALSE,"REPORTING VERSO VENDITE";#N/A,#N/A,FALSE,"GRUPPO";#N/A,#N/A,FALSE,"DELTA VOL, COSTO E PRODUTTIVA'";#N/A,#N/A,FALSE,"ANDAMENTO DEPOSITI FIDUCIARI";#N/A,#N/A,FALSE,"PRODUTTIVITA'"}</definedName>
    <definedName name="wxcgxcvc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xcvxc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wxvxcxcvxc" hidden="1">{"det (May)",#N/A,FALSE,"June";"sum (MAY YTD)",#N/A,FALSE,"June YTD"}</definedName>
    <definedName name="x" hidden="1">{"CAP VOL",#N/A,FALSE,"CAPITAL";"CAP VAR",#N/A,FALSE,"CAPITAL";"CAP FIJ",#N/A,FALSE,"CAPITAL";"CAP CONS",#N/A,FALSE,"CAPITAL";"CAP DATA",#N/A,FALSE,"CAPITAL"}</definedName>
    <definedName name="xcbxbfb" hidden="1">{"det (May)",#N/A,FALSE,"June";"sum (MAY YTD)",#N/A,FALSE,"June YTD"}</definedName>
    <definedName name="xcvbgfbgbnc" hidden="1">{"det (May)",#N/A,FALSE,"June";"sum (MAY YTD)",#N/A,FALSE,"June YTD"}</definedName>
    <definedName name="xcvcdfbv" hidden="1">{"det (May)",#N/A,FALSE,"June";"sum (MAY YTD)",#N/A,FALSE,"June YTD"}</definedName>
    <definedName name="xcvgfgbg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cvxg" hidden="1">{"det (May)",#N/A,FALSE,"June";"sum (MAY YTD)",#N/A,FALSE,"June YTD"}</definedName>
    <definedName name="xcxc" hidden="1">{#N/A,#N/A,FALSE,"Hoja1";#N/A,#N/A,FALSE,"Hoja2"}</definedName>
    <definedName name="xcxxc" hidden="1">{"CAP VOL",#N/A,FALSE,"CAPITAL";"CAP VAR",#N/A,FALSE,"CAPITAL";"CAP FIJ",#N/A,FALSE,"CAPITAL";"CAP CONS",#N/A,FALSE,"CAPITAL";"CAP DATA",#N/A,FALSE,"CAPITAL"}</definedName>
    <definedName name="xdfghbnbdf" hidden="1">{"det (May)",#N/A,FALSE,"June";"sum (MAY YTD)",#N/A,FALSE,"June YTD"}</definedName>
    <definedName name="xdfghfjcv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fbxbf" hidden="1">{"det (May)",#N/A,FALSE,"June";"sum (MAY YTD)",#N/A,FALSE,"June YTD"}</definedName>
    <definedName name="xfjxfgj" hidden="1">{"det (May)",#N/A,FALSE,"June";"sum (MAY YTD)",#N/A,FALSE,"June YTD"}</definedName>
    <definedName name="xfjxfj" hidden="1">{"det (May)",#N/A,FALSE,"June";"sum (MAY YTD)",#N/A,FALSE,"June YTD"}</definedName>
    <definedName name="xgfhxfbgf" hidden="1">{"det (May)",#N/A,FALSE,"June";"sum (MAY YTD)",#N/A,FALSE,"June YTD"}</definedName>
    <definedName name="xgfngfnf" hidden="1">{"det (May)",#N/A,FALSE,"June";"sum (MAY YTD)",#N/A,FALSE,"June YTD"}</definedName>
    <definedName name="xiei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ir" hidden="1">{"det (May)",#N/A,FALSE,"June";"sum (MAY YTD)",#N/A,FALSE,"June YTD"}</definedName>
    <definedName name="xkdirhj" hidden="1">{"det (May)",#N/A,FALSE,"June";"sum (MAY YTD)",#N/A,FALSE,"June YTD"}</definedName>
    <definedName name="xkei0ori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LDW_VER" hidden="1">"Office 2000 2.0 with Query Builder"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[16]DDJJ!#REF!</definedName>
    <definedName name="XREF_COLUMN_18" hidden="1">#REF!</definedName>
    <definedName name="XREF_COLUMN_19" hidden="1">'[17]PG DF'!#REF!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ActiveRow" hidden="1">#REF!</definedName>
    <definedName name="XRefColumnsCount" hidden="1">17</definedName>
    <definedName name="XRefCopy1" hidden="1">#REF!</definedName>
    <definedName name="XRefCopy10" hidden="1">#REF!</definedName>
    <definedName name="XRefCopy100" hidden="1">#REF!</definedName>
    <definedName name="XRefCopy100Row" hidden="1">#REF!</definedName>
    <definedName name="XRefCopy101" hidden="1">#REF!</definedName>
    <definedName name="XRefCopy101Row" hidden="1">#REF!</definedName>
    <definedName name="XRefCopy102" hidden="1">#REF!</definedName>
    <definedName name="XRefCopy102Row" hidden="1">#REF!</definedName>
    <definedName name="XRefCopy103" hidden="1">#REF!</definedName>
    <definedName name="XRefCopy103Row" hidden="1">#REF!</definedName>
    <definedName name="XRefCopy104" hidden="1">#REF!</definedName>
    <definedName name="XRefCopy104Row" hidden="1">#REF!</definedName>
    <definedName name="XRefCopy105" hidden="1">#REF!</definedName>
    <definedName name="XRefCopy105Row" hidden="1">#REF!</definedName>
    <definedName name="XRefCopy106Row" hidden="1">#REF!</definedName>
    <definedName name="XRefCopy107Row" hidden="1">#REF!</definedName>
    <definedName name="XRefCopy108" hidden="1">#REF!</definedName>
    <definedName name="XRefCopy108Row" hidden="1">#REF!</definedName>
    <definedName name="XRefCopy109" hidden="1">#REF!</definedName>
    <definedName name="XRefCopy109Row" hidden="1">#REF!</definedName>
    <definedName name="XRefCopy10Row" hidden="1">#REF!</definedName>
    <definedName name="XRefCopy11" hidden="1">#REF!</definedName>
    <definedName name="XRefCopy110" hidden="1">#REF!</definedName>
    <definedName name="XRefCopy110Row" hidden="1">#REF!</definedName>
    <definedName name="XRefCopy111" hidden="1">#REF!</definedName>
    <definedName name="XRefCopy111Row" hidden="1">#REF!</definedName>
    <definedName name="XRefCopy112" hidden="1">#REF!</definedName>
    <definedName name="XRefCopy112Row" hidden="1">#REF!</definedName>
    <definedName name="XRefCopy113" hidden="1">#REF!</definedName>
    <definedName name="XRefCopy113Row" hidden="1">#REF!</definedName>
    <definedName name="XRefCopy114" hidden="1">#REF!</definedName>
    <definedName name="XRefCopy114Row" hidden="1">#REF!</definedName>
    <definedName name="XRefCopy115" hidden="1">#REF!</definedName>
    <definedName name="XRefCopy115Row" hidden="1">#REF!</definedName>
    <definedName name="XRefCopy116" hidden="1">#REF!</definedName>
    <definedName name="XRefCopy116Row" hidden="1">#REF!</definedName>
    <definedName name="XRefCopy117" hidden="1">#REF!</definedName>
    <definedName name="XRefCopy117Row" hidden="1">#REF!</definedName>
    <definedName name="XRefCopy118" hidden="1">#REF!</definedName>
    <definedName name="XRefCopy118Row" hidden="1">#REF!</definedName>
    <definedName name="XRefCopy119" hidden="1">#REF!</definedName>
    <definedName name="XRefCopy119Row" hidden="1">#REF!</definedName>
    <definedName name="XRefCopy11Row" hidden="1">#REF!</definedName>
    <definedName name="XRefCopy12" hidden="1">#REF!</definedName>
    <definedName name="XRefCopy120" hidden="1">#REF!</definedName>
    <definedName name="XRefCopy120Row" hidden="1">#REF!</definedName>
    <definedName name="XRefCopy121" hidden="1">#REF!</definedName>
    <definedName name="XRefCopy121Row" hidden="1">#REF!</definedName>
    <definedName name="XRefCopy122" hidden="1">#REF!</definedName>
    <definedName name="XRefCopy122Row" hidden="1">#REF!</definedName>
    <definedName name="XRefCopy123" hidden="1">#REF!</definedName>
    <definedName name="XRefCopy123Row" hidden="1">#REF!</definedName>
    <definedName name="XRefCopy124" hidden="1">#REF!</definedName>
    <definedName name="XRefCopy124Row" hidden="1">#REF!</definedName>
    <definedName name="XRefCopy125" hidden="1">#REF!</definedName>
    <definedName name="XRefCopy125Row" hidden="1">#REF!</definedName>
    <definedName name="XRefCopy126" hidden="1">#REF!</definedName>
    <definedName name="XRefCopy126Row" hidden="1">#REF!</definedName>
    <definedName name="XRefCopy127" hidden="1">#REF!</definedName>
    <definedName name="XRefCopy127Row" hidden="1">#REF!</definedName>
    <definedName name="XRefCopy128" hidden="1">#REF!</definedName>
    <definedName name="XRefCopy128Row" hidden="1">#REF!</definedName>
    <definedName name="XRefCopy129" hidden="1">#REF!</definedName>
    <definedName name="XRefCopy129Row" hidden="1">#REF!</definedName>
    <definedName name="XRefCopy12Row" hidden="1">#REF!</definedName>
    <definedName name="XRefCopy13" hidden="1">#REF!</definedName>
    <definedName name="XRefCopy130" hidden="1">#REF!</definedName>
    <definedName name="XRefCopy130Row" hidden="1">#REF!</definedName>
    <definedName name="XRefCopy131" hidden="1">#REF!</definedName>
    <definedName name="XRefCopy131Row" hidden="1">#REF!</definedName>
    <definedName name="XRefCopy132" hidden="1">#REF!</definedName>
    <definedName name="XRefCopy132Row" hidden="1">#REF!</definedName>
    <definedName name="XRefCopy133" hidden="1">#REF!</definedName>
    <definedName name="XRefCopy133Row" hidden="1">#REF!</definedName>
    <definedName name="XRefCopy134" hidden="1">#REF!</definedName>
    <definedName name="XRefCopy134Row" hidden="1">#REF!</definedName>
    <definedName name="XRefCopy135" hidden="1">#REF!</definedName>
    <definedName name="XRefCopy135Row" hidden="1">#REF!</definedName>
    <definedName name="XRefCopy136" hidden="1">#REF!</definedName>
    <definedName name="XRefCopy136Row" hidden="1">#REF!</definedName>
    <definedName name="XRefCopy137Row" hidden="1">#REF!</definedName>
    <definedName name="XRefCopy139Row" hidden="1">#REF!</definedName>
    <definedName name="XRefCopy13Row" hidden="1">#REF!</definedName>
    <definedName name="XRefCopy14" hidden="1">#REF!</definedName>
    <definedName name="XRefCopy140Row" hidden="1">#REF!</definedName>
    <definedName name="XRefCopy141Row" hidden="1">#REF!</definedName>
    <definedName name="XRefCopy142Row" hidden="1">#REF!</definedName>
    <definedName name="XRefCopy143Row" hidden="1">#REF!</definedName>
    <definedName name="XRefCopy144Row" hidden="1">#REF!</definedName>
    <definedName name="XRefCopy145Row" hidden="1">#REF!</definedName>
    <definedName name="XRefCopy147Row" hidden="1">#REF!</definedName>
    <definedName name="XRefCopy148Row" hidden="1">#REF!</definedName>
    <definedName name="XRefCopy149Row" hidden="1">#REF!</definedName>
    <definedName name="XRefCopy14Row" hidden="1">#REF!</definedName>
    <definedName name="XRefCopy15" hidden="1">#REF!</definedName>
    <definedName name="XRefCopy150Row" hidden="1">#REF!</definedName>
    <definedName name="XRefCopy151Row" hidden="1">#REF!</definedName>
    <definedName name="XRefCopy152Row" hidden="1">#REF!</definedName>
    <definedName name="XRefCopy153Row" hidden="1">#REF!</definedName>
    <definedName name="XRefCopy154Row" hidden="1">#REF!</definedName>
    <definedName name="XRefCopy155Row" hidden="1">#REF!</definedName>
    <definedName name="XRefCopy156Row" hidden="1">#REF!</definedName>
    <definedName name="XRefCopy157Row" hidden="1">#REF!</definedName>
    <definedName name="XRefCopy158Row" hidden="1">#REF!</definedName>
    <definedName name="XRefCopy159Row" hidden="1">#REF!</definedName>
    <definedName name="XRefCopy15Row" hidden="1">#REF!</definedName>
    <definedName name="XRefCopy16" hidden="1">[16]Remuneraciones!#REF!</definedName>
    <definedName name="XRefCopy160Row" hidden="1">#REF!</definedName>
    <definedName name="XRefCopy161Row" hidden="1">#REF!</definedName>
    <definedName name="XRefCopy162Row" hidden="1">#REF!</definedName>
    <definedName name="XRefCopy163Row" hidden="1">#REF!</definedName>
    <definedName name="XRefCopy164Row" hidden="1">#REF!</definedName>
    <definedName name="XRefCopy165Row" hidden="1">#REF!</definedName>
    <definedName name="XRefCopy166Row" hidden="1">#REF!</definedName>
    <definedName name="XRefCopy167Row" hidden="1">#REF!</definedName>
    <definedName name="XRefCopy168Row" hidden="1">#REF!</definedName>
    <definedName name="XRefCopy169Row" hidden="1">#REF!</definedName>
    <definedName name="XRefCopy16Row" hidden="1">#REF!</definedName>
    <definedName name="XRefCopy17" hidden="1">#REF!</definedName>
    <definedName name="XRefCopy170Row" hidden="1">#REF!</definedName>
    <definedName name="XRefCopy171Row" hidden="1">#REF!</definedName>
    <definedName name="XRefCopy172Row" hidden="1">#REF!</definedName>
    <definedName name="XRefCopy173Row" hidden="1">#REF!</definedName>
    <definedName name="XRefCopy176Row" hidden="1">#REF!</definedName>
    <definedName name="XRefCopy177Row" hidden="1">#REF!</definedName>
    <definedName name="XRefCopy178Row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" hidden="1">#REF!</definedName>
    <definedName name="XRefCopy20" hidden="1">#REF!</definedName>
    <definedName name="XRefCopy20Row" hidden="1">#REF!</definedName>
    <definedName name="XRefCopy21" hidden="1">#REF!</definedName>
    <definedName name="XRefCopy21Row" hidden="1">#REF!</definedName>
    <definedName name="XRefCopy22" hidden="1">#REF!</definedName>
    <definedName name="XRefCopy22Row" hidden="1">#REF!</definedName>
    <definedName name="XRefCopy23" hidden="1">'[16]PG Cs.Sociales'!#REF!</definedName>
    <definedName name="XRefCopy23Row" hidden="1">#REF!</definedName>
    <definedName name="XRefCopy24" hidden="1">'[16]PG Cs.Sociales'!#REF!</definedName>
    <definedName name="XRefCopy24Row" hidden="1">#REF!</definedName>
    <definedName name="XRefCopy25" hidden="1">'[16]PG Cs.Sociales'!#REF!</definedName>
    <definedName name="XRefCopy25Row" hidden="1">#REF!</definedName>
    <definedName name="XRefCopy26" hidden="1">#REF!</definedName>
    <definedName name="XRefCopy26Row" hidden="1">#REF!</definedName>
    <definedName name="XRefCopy27" hidden="1">#REF!</definedName>
    <definedName name="XRefCopy27Row" hidden="1">#REF!</definedName>
    <definedName name="XRefCopy28" hidden="1">#REF!</definedName>
    <definedName name="XRefCopy28Row" hidden="1">#REF!</definedName>
    <definedName name="XRefCopy29" hidden="1">#REF!</definedName>
    <definedName name="XRefCopy29Row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Row" hidden="1">#REF!</definedName>
    <definedName name="XRefCopy32Row" hidden="1">#REF!</definedName>
    <definedName name="XRefCopy33" hidden="1">#REF!</definedName>
    <definedName name="XRefCopy33Row" hidden="1">#REF!</definedName>
    <definedName name="XRefCopy34" hidden="1">#REF!</definedName>
    <definedName name="XRefCopy34Row" hidden="1">#REF!</definedName>
    <definedName name="XRefCopy35Row" hidden="1">#REF!</definedName>
    <definedName name="XRefCopy36" hidden="1">'[16]PG Cs.Sociales'!#REF!</definedName>
    <definedName name="XRefCopy36Row" hidden="1">#REF!</definedName>
    <definedName name="XRefCopy37Row" hidden="1">#REF!</definedName>
    <definedName name="XRefCopy38Row" hidden="1">#REF!</definedName>
    <definedName name="XRefCopy39Row" hidden="1">#REF!</definedName>
    <definedName name="XRefCopy3Row" hidden="1">#REF!</definedName>
    <definedName name="XRefCopy4" hidden="1">#REF!</definedName>
    <definedName name="XRefCopy40" hidden="1">'[16]PG Cs.Sociales'!#REF!</definedName>
    <definedName name="XRefCopy40Row" hidden="1">#REF!</definedName>
    <definedName name="XRefCopy41Row" hidden="1">#REF!</definedName>
    <definedName name="XRefCopy42Row" hidden="1">#REF!</definedName>
    <definedName name="XRefCopy43Row" hidden="1">#REF!</definedName>
    <definedName name="XRefCopy44Row" hidden="1">#REF!</definedName>
    <definedName name="XRefCopy45Row" hidden="1">#REF!</definedName>
    <definedName name="XRefCopy46Row" hidden="1">#REF!</definedName>
    <definedName name="XRefCopy47Row" hidden="1">#REF!</definedName>
    <definedName name="XRefCopy48" hidden="1">#REF!</definedName>
    <definedName name="XRefCopy48Row" hidden="1">#REF!</definedName>
    <definedName name="XRefCopy49" hidden="1">#REF!</definedName>
    <definedName name="XRefCopy49Row" hidden="1">#REF!</definedName>
    <definedName name="XRefCopy4Row" hidden="1">#REF!</definedName>
    <definedName name="XRefCopy5" hidden="1">#REF!</definedName>
    <definedName name="XRefCopy50" hidden="1">#REF!</definedName>
    <definedName name="XRefCopy50Row" hidden="1">#REF!</definedName>
    <definedName name="XRefCopy51" hidden="1">#REF!</definedName>
    <definedName name="XRefCopy51Row" hidden="1">#REF!</definedName>
    <definedName name="XRefCopy52" hidden="1">#REF!</definedName>
    <definedName name="XRefCopy52Row" hidden="1">#REF!</definedName>
    <definedName name="XRefCopy53" hidden="1">#REF!</definedName>
    <definedName name="XRefCopy53Row" hidden="1">#REF!</definedName>
    <definedName name="XRefCopy54" hidden="1">#REF!</definedName>
    <definedName name="XRefCopy54Row" hidden="1">#REF!</definedName>
    <definedName name="XRefCopy55" hidden="1">'[16]PG Cs.Sociales'!#REF!</definedName>
    <definedName name="XRefCopy55Row" hidden="1">#REF!</definedName>
    <definedName name="XRefCopy56" hidden="1">'[16]PG Cs.Sociales'!#REF!</definedName>
    <definedName name="XRefCopy56Row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8" hidden="1">'[16]PG Cs.Sociales'!#REF!</definedName>
    <definedName name="XRefCopy79" hidden="1">'[16]PG Cs.Sociales'!#REF!</definedName>
    <definedName name="XRefCopy79Row" hidden="1">#REF!</definedName>
    <definedName name="XRefCopy7Row" hidden="1">#REF!</definedName>
    <definedName name="XRefCopy8" hidden="1">#REF!</definedName>
    <definedName name="XRefCopy80" hidden="1">#REF!</definedName>
    <definedName name="XRefCopy80Row" hidden="1">#REF!</definedName>
    <definedName name="XRefCopy81" hidden="1">#REF!</definedName>
    <definedName name="XRefCopy81Row" hidden="1">#REF!</definedName>
    <definedName name="XRefCopy82" hidden="1">#REF!</definedName>
    <definedName name="XRefCopy82Row" hidden="1">#REF!</definedName>
    <definedName name="XRefCopy83" hidden="1">#REF!</definedName>
    <definedName name="XRefCopy83Row" hidden="1">#REF!</definedName>
    <definedName name="XRefCopy84Row" hidden="1">#REF!</definedName>
    <definedName name="XRefCopy85Row" hidden="1">#REF!</definedName>
    <definedName name="XRefCopy86Row" hidden="1">#REF!</definedName>
    <definedName name="XRefCopy87Row" hidden="1">#REF!</definedName>
    <definedName name="XRefCopy88Row" hidden="1">#REF!</definedName>
    <definedName name="XRefCopy89Row" hidden="1">#REF!</definedName>
    <definedName name="XRefCopy8Row" hidden="1">#REF!</definedName>
    <definedName name="XRefCopy9" hidden="1">#REF!</definedName>
    <definedName name="XRefCopy90Row" hidden="1">#REF!</definedName>
    <definedName name="XRefCopy91Row" hidden="1">#REF!</definedName>
    <definedName name="XRefCopy92Row" hidden="1">#REF!</definedName>
    <definedName name="XRefCopy93" hidden="1">'[16]PG Cs.Sociales'!#REF!</definedName>
    <definedName name="XRefCopy93Row" hidden="1">#REF!</definedName>
    <definedName name="XRefCopy96" hidden="1">'[16]PG Cs.Sociales'!#REF!</definedName>
    <definedName name="XRefCopy96Row" hidden="1">#REF!</definedName>
    <definedName name="XRefCopy97" hidden="1">'[16]PG Cs.Sociales'!#REF!</definedName>
    <definedName name="XRefCopy97Row" hidden="1">#REF!</definedName>
    <definedName name="XRefCopy98" hidden="1">#REF!</definedName>
    <definedName name="XRefCopy98Row" hidden="1">#REF!</definedName>
    <definedName name="XRefCopy99" hidden="1">#REF!</definedName>
    <definedName name="XRefCopy99Row" hidden="1">#REF!</definedName>
    <definedName name="XRefCopy9Row" hidden="1">#REF!</definedName>
    <definedName name="XRefCopyRangeCount" hidden="1">14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[18]XREF!#REF!</definedName>
    <definedName name="XRefPaste15" hidden="1">#REF!</definedName>
    <definedName name="XRefPaste15Row" hidden="1">[18]XREF!#REF!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[19]XREF!#REF!</definedName>
    <definedName name="XRefPaste2" hidden="1">#REF!</definedName>
    <definedName name="XRefPaste20" hidden="1">#REF!</definedName>
    <definedName name="XRefPaste20Row" hidden="1">#REF!</definedName>
    <definedName name="XRefPaste21" hidden="1">#REF!</definedName>
    <definedName name="XRefPaste21Row" hidden="1">#REF!</definedName>
    <definedName name="XRefPaste22" hidden="1">#REF!</definedName>
    <definedName name="XRefPaste22Row" hidden="1">#REF!</definedName>
    <definedName name="XRefPaste23" hidden="1">#REF!</definedName>
    <definedName name="XRefPaste23Row" hidden="1">#REF!</definedName>
    <definedName name="XRefPaste24" hidden="1">#REF!</definedName>
    <definedName name="XRefPaste24Row" hidden="1">#REF!</definedName>
    <definedName name="XRefPaste25" hidden="1">#REF!</definedName>
    <definedName name="XRefPaste25Row" hidden="1">#REF!</definedName>
    <definedName name="XRefPaste26" hidden="1">#REF!</definedName>
    <definedName name="XRefPaste26Row" hidden="1">#REF!</definedName>
    <definedName name="XRefPaste27Row" hidden="1">#REF!</definedName>
    <definedName name="XRefPaste28Row" hidden="1">#REF!</definedName>
    <definedName name="XRefPaste29" hidden="1">#REF!</definedName>
    <definedName name="XRefPaste29Row" hidden="1">#REF!</definedName>
    <definedName name="XRefPaste2Row" hidden="1">#REF!</definedName>
    <definedName name="XRefPaste3" hidden="1">#REF!</definedName>
    <definedName name="XRefPaste30" hidden="1">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" hidden="1">[17]DDJJ!#REF!</definedName>
    <definedName name="XRefPaste35Row" hidden="1">#REF!</definedName>
    <definedName name="XRefPaste36" hidden="1">[17]DDJJ!#REF!</definedName>
    <definedName name="XRefPaste36Row" hidden="1">#REF!</definedName>
    <definedName name="XRefPaste37Row" hidden="1">#REF!</definedName>
    <definedName name="XRefPaste38Row" hidden="1">#REF!</definedName>
    <definedName name="XRefPaste39Row" hidden="1">#REF!</definedName>
    <definedName name="XRefPaste3Row" hidden="1">#REF!</definedName>
    <definedName name="XRefPaste4" hidden="1">#REF!</definedName>
    <definedName name="XRefPaste40Row" hidden="1">#REF!</definedName>
    <definedName name="XRefPaste41" hidden="1">'[16]PG Cs.Sociales'!#REF!</definedName>
    <definedName name="XRefPaste41Row" hidden="1">#REF!</definedName>
    <definedName name="XRefPaste42Row" hidden="1">#REF!</definedName>
    <definedName name="XRefPaste43Row" hidden="1">#REF!</definedName>
    <definedName name="XRefPaste44Row" hidden="1">#REF!</definedName>
    <definedName name="XRefPaste45Row" hidden="1">#REF!</definedName>
    <definedName name="XRefPaste46" hidden="1">#REF!</definedName>
    <definedName name="XRefPaste46Row" hidden="1">#REF!</definedName>
    <definedName name="XRefPaste47" hidden="1">#REF!</definedName>
    <definedName name="XRefPaste47Row" hidden="1">#REF!</definedName>
    <definedName name="XRefPaste48" hidden="1">#REF!</definedName>
    <definedName name="XRefPaste48Row" hidden="1">#REF!</definedName>
    <definedName name="XRefPaste49" hidden="1">#REF!</definedName>
    <definedName name="XRefPaste49Row" hidden="1">#REF!</definedName>
    <definedName name="XRefPaste4Row" hidden="1">#REF!</definedName>
    <definedName name="XRefPaste50Row" hidden="1">#REF!</definedName>
    <definedName name="XRefPaste51Row" hidden="1">#REF!</definedName>
    <definedName name="XRefPaste52Row" hidden="1">#REF!</definedName>
    <definedName name="XRefPaste53Row" hidden="1">#REF!</definedName>
    <definedName name="XRefPaste54Row" hidden="1">#REF!</definedName>
    <definedName name="XRefPaste55Row" hidden="1">#REF!</definedName>
    <definedName name="XRefPaste56" hidden="1">'[17]PG DF'!#REF!</definedName>
    <definedName name="XRefPaste56Row" hidden="1">#REF!</definedName>
    <definedName name="XRefPaste57Row" hidden="1">#REF!</definedName>
    <definedName name="XRefPaste58Row" hidden="1">#REF!</definedName>
    <definedName name="XRefPaste59Row" hidden="1">#REF!</definedName>
    <definedName name="XRefPaste5Row" hidden="1">#REF!</definedName>
    <definedName name="XRefPaste6" hidden="1">#REF!</definedName>
    <definedName name="XRefPaste60Row" hidden="1">#REF!</definedName>
    <definedName name="XRefPaste6Row" hidden="1">#REF!</definedName>
    <definedName name="XRefPaste7" hidden="1">'[16]PG Cs.Sociales'!#REF!</definedName>
    <definedName name="XRefPaste7Row" hidden="1">#REF!</definedName>
    <definedName name="XRefPaste8" hidden="1">'[16]PG Cs.Sociales'!#REF!</definedName>
    <definedName name="XRefPaste8Row" hidden="1">#REF!</definedName>
    <definedName name="XRefPaste9" hidden="1">'[16]PG Cs.Sociales'!#REF!</definedName>
    <definedName name="XRefPaste9Row" hidden="1">#REF!</definedName>
    <definedName name="XRefPasteRangeCount" hidden="1">3</definedName>
    <definedName name="xvhgfhxnfbn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xx" hidden="1">{"CAP VOL",#N/A,FALSE,"CAPITAL";"CAP VAR",#N/A,FALSE,"CAPITAL";"CAP FIJ",#N/A,FALSE,"CAPITAL";"CAP CONS",#N/A,FALSE,"CAPITAL";"CAP DATA",#N/A,FALSE,"CAPITAL"}</definedName>
    <definedName name="XXX" hidden="1">{"'Resumen US$'!$A$104:$B$104"}</definedName>
    <definedName name="xxxx" hidden="1">{"det (May)",#N/A,FALSE,"June";"sum (MAY YTD)",#N/A,FALSE,"June YTD"}</definedName>
    <definedName name="xzzx" hidden="1">{"miles",#N/A,FALSE,"LUCROS E PERDAS (US$ 000)";"hl",#N/A,FALSE,"LUCROS E PERDAS (US$ 000)"}</definedName>
    <definedName name="Y" hidden="1">{#N/A,#N/A,FALSE,"지침";#N/A,#N/A,FALSE,"환경분석";#N/A,#N/A,FALSE,"Sheet16"}</definedName>
    <definedName name="YE_2006_Notes_FooterType" hidden="1">"NONE"</definedName>
    <definedName name="YE_2007_Notes_FooterType" hidden="1">"NONE"</definedName>
    <definedName name="ym" hidden="1">{"det (May)",#N/A,FALSE,"June";"sum (MAY YTD)",#N/A,FALSE,"June YTD"}</definedName>
    <definedName name="yreyter" hidden="1">{"bs",#N/A,FALSE,"Consolidado";"cf",#N/A,FALSE,"Consolidado";"pl_hl",#N/A,FALSE,"Consolidado";"pl_us",#N/A,FALSE,"Consolidado";"Prem1",#N/A,FALSE,"Consolidado"}</definedName>
    <definedName name="yrjytjtyjd" hidden="1">{"det (May)",#N/A,FALSE,"June";"sum (MAY YTD)",#N/A,FALSE,"June YTD"}</definedName>
    <definedName name="yrkyuky" hidden="1">{"det (May)",#N/A,FALSE,"June";"sum (MAY YTD)",#N/A,FALSE,"June YTD"}</definedName>
    <definedName name="yrliulu" hidden="1">{"det (May)",#N/A,FALSE,"June";"sum (MAY YTD)",#N/A,FALSE,"June YTD"}</definedName>
    <definedName name="YTD" hidden="1">#REF!</definedName>
    <definedName name="ytedh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tini" hidden="1">{"det (May)",#N/A,FALSE,"June";"sum (MAY YTD)",#N/A,FALSE,"June YTD"}</definedName>
    <definedName name="ytjtyjtyj" hidden="1">{"det (May)",#N/A,FALSE,"June";"sum (MAY YTD)",#N/A,FALSE,"June YTD"}</definedName>
    <definedName name="ytjyjy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tyu" hidden="1">{"det (May)",#N/A,FALSE,"June";"sum (MAY YTD)",#N/A,FALSE,"June YTD"}</definedName>
    <definedName name="yuetyy" hidden="1">{"'cua 42'!$A$1:$O$40"}</definedName>
    <definedName name="yuib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utyin" hidden="1">{"det (May)",#N/A,FALSE,"June";"sum (MAY YTD)",#N/A,FALSE,"June YTD"}</definedName>
    <definedName name="yuyu" hidden="1">{"det (May)",#N/A,FALSE,"June";"sum (MAY YTD)",#N/A,FALSE,"June YTD"}</definedName>
    <definedName name="yy" hidden="1">{"'Hoja1'!$A$1:$K$32"}</definedName>
    <definedName name="yyuurrrrrrrrrrr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yyy" hidden="1">{#N/A,#N/A,FALSE,"지침";#N/A,#N/A,FALSE,"환경분석";#N/A,#N/A,FALSE,"Sheet16"}</definedName>
    <definedName name="yyyy" hidden="1">{#N/A,#N/A,FALSE,"BBPREP"}</definedName>
    <definedName name="yyyyyyyyu" hidden="1">{"det (May)",#N/A,FALSE,"June";"sum (MAY YTD)",#N/A,FALSE,"June YTD"}</definedName>
    <definedName name="yyyyyyyyyy" hidden="1">{"det (May)",#N/A,FALSE,"June";"sum (MAY YTD)",#N/A,FALSE,"June YTD"}</definedName>
    <definedName name="yyyyyyyyyyyyy" hidden="1">{"det (May)",#N/A,FALSE,"June";"sum (MAY YTD)",#N/A,FALSE,"June YTD"}</definedName>
    <definedName name="yyyyyyyyyyyyyyyyyy" hidden="1">{"det (May)",#N/A,FALSE,"June";"sum (MAY YTD)",#N/A,FALSE,"June YTD"}</definedName>
    <definedName name="YYYYYYYYYYYYYYYYYYYYY" hidden="1">{#N/A,#N/A,FALSE,"Aging Summary";#N/A,#N/A,FALSE,"Ratio Analysis";#N/A,#N/A,FALSE,"Test 120 Day Accts";#N/A,#N/A,FALSE,"Tickmarks"}</definedName>
    <definedName name="Z_0883940C_DD53_4782_AE40_F25DCDFBD3C7_.wvu.Rows" hidden="1">[20]Domestic!#REF!</definedName>
    <definedName name="Z_127676E1_B3F5_11D4_8318_0004AC59FD84_.wvu.Rows" hidden="1">#REF!,#REF!</definedName>
    <definedName name="Z_3EAC070B_CD4E_4001_8473_52D6DCCA4D7A_.wvu.Rows" hidden="1">[20]Domestic!#REF!</definedName>
    <definedName name="Z_40E7FF72_A97F_464A_99FD_9A8E68DD313C_.wvu.Rows" hidden="1">'[21]MO P&amp;L var'!$38:$38</definedName>
    <definedName name="Z_6FE5135F_5503_45FC_BC87_67D868C2D3B9_.wvu.PrintArea" hidden="1">#REF!</definedName>
    <definedName name="Z_BDB4B167_E3AA_11D7_8D7A_00B0D08F20DC_.wvu.PrintArea" hidden="1">#REF!</definedName>
    <definedName name="za" hidden="1">{"det (May)",#N/A,FALSE,"June";"sum (MAY YTD)",#N/A,FALSE,"June YTD"}</definedName>
    <definedName name="zaz" hidden="1">{"det (May)",#N/A,FALSE,"June";"sum (MAY YTD)",#N/A,FALSE,"June YTD"}</definedName>
    <definedName name="zaza" hidden="1">{"det (May)",#N/A,FALSE,"June";"sum (MAY YTD)",#N/A,FALSE,"June YTD"}</definedName>
    <definedName name="zazaza" hidden="1">{"det (May)",#N/A,FALSE,"June";"sum (MAY YTD)",#N/A,FALSE,"June YTD"}</definedName>
    <definedName name="zazazaz" hidden="1">{"det (May)",#N/A,FALSE,"June";"sum (MAY YTD)",#N/A,FALSE,"June YTD"}</definedName>
    <definedName name="zazazaza" hidden="1">{"det (May)",#N/A,FALSE,"June";"sum (MAY YTD)",#N/A,FALSE,"June YTD"}</definedName>
    <definedName name="zazazazaazz" hidden="1">{"det (May)",#N/A,FALSE,"June";"sum (MAY YTD)",#N/A,FALSE,"June YTD"}</definedName>
    <definedName name="zazazazaza" hidden="1">{"det (May)",#N/A,FALSE,"June";"sum (MAY YTD)",#N/A,FALSE,"June YTD"}</definedName>
    <definedName name="zcczxz" hidden="1">{"bs",#N/A,FALSE,"Consolidado";"cf",#N/A,FALSE,"Consolidado";"pl_hl",#N/A,FALSE,"Consolidado";"pl_us",#N/A,FALSE,"Consolidado";"Prem1",#N/A,FALSE,"Consolidado"}</definedName>
    <definedName name="zcv" hidden="1">{"mat",#N/A,FALSE,"REVLRP";"LAB",#N/A,FALSE,"REVLRP";"FRI",#N/A,FALSE,"REVLRP";"DIST",#N/A,FALSE,"REVLRP";"util",#N/A,FALSE,"REVLRP";"fix",#N/A,FALSE,"REVLRP";"fin",#N/A,FALSE,"REVLRP";"infl",#N/A,FALSE,"REVLRP";"misc",#N/A,FALSE,"REVLRP"}</definedName>
    <definedName name="zdfbfa" hidden="1">{#N/A,#N/A,FALSE,"1997 P&amp;L(pk) (Atlanta)";#N/A,#N/A,FALSE,"ONGOING P&amp;L(PK)(Atlanta)"}</definedName>
    <definedName name="zdfg" hidden="1">{"det (May)",#N/A,FALSE,"June";"sum (MAY YTD)",#N/A,FALSE,"June YTD"}</definedName>
    <definedName name="zeljka" hidden="1">{"det (May)",#N/A,FALSE,"June";"sum (MAY YTD)",#N/A,FALSE,"June YTD"}</definedName>
    <definedName name="zeljka1" hidden="1">{"det (May)",#N/A,FALSE,"June";"sum (MAY YTD)",#N/A,FALSE,"June YTD"}</definedName>
    <definedName name="zeljka2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eljka3" hidden="1">{"det (May)",#N/A,FALSE,"June";"sum (MAY YTD)",#N/A,FALSE,"June YTD"}</definedName>
    <definedName name="zetytrh" hidden="1">{"det (May)",#N/A,FALSE,"June";"sum (MAY YTD)",#N/A,FALSE,"June YTD"}</definedName>
    <definedName name="zfazfzr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IZI" hidden="1">{#N/A,#N/A,FALSE,"Aging Summary";#N/A,#N/A,FALSE,"Ratio Analysis";#N/A,#N/A,FALSE,"Test 120 Day Accts";#N/A,#N/A,FALSE,"Tickmarks"}</definedName>
    <definedName name="zrhdf" hidden="1">{#N/A,#N/A,FALSE,"Aging Summary";#N/A,#N/A,FALSE,"Ratio Analysis";#N/A,#N/A,FALSE,"Test 120 Day Accts";#N/A,#N/A,FALSE,"Tickmarks"}</definedName>
    <definedName name="zszsdfffvgfv" hidden="1">{"det (May)",#N/A,FALSE,"June";"sum (MAY YTD)",#N/A,FALSE,"June YTD"}</definedName>
    <definedName name="zytts" hidden="1">{"det (May)",#N/A,FALSE,"June";"sum (MAY YTD)",#N/A,FALSE,"June YTD"}</definedName>
    <definedName name="zz" hidden="1">{"'input-data'!$B$5:$R$22"}</definedName>
    <definedName name="zzssddf" hidden="1">{"04-12brpr",#N/A,FALSE,"Total jan-dec";"05brpr",#N/A,FALSE,"Total jan-dec";"07brpr",#N/A,FALSE,"Total jan-dec";"01-12absdet",#N/A,FALSE,"Total jan-dec";"01-12abs",#N/A,FALSE,"Total jan-dec";"04-12abs",#N/A,FALSE,"Total jan-dec";"04-12absdet",#N/A,FALSE,"Total jan-dec";"01-12hl",#N/A,FALSE,"Total jan-dec";"04-12HL",#N/A,FALSE,"Total jan-dec"}</definedName>
    <definedName name="zzz" hidden="1">{"det (May)",#N/A,FALSE,"June";"sum (MAY YTD)",#N/A,FALSE,"June YTD"}</definedName>
    <definedName name="zzzzzzzzz" hidden="1">{"det (May)",#N/A,FALSE,"June";"sum (MAY YTD)",#N/A,FALSE,"June YTD"}</definedName>
    <definedName name="ааа" hidden="1">{"det (May)",#N/A,FALSE,"June";"sum (MAY YTD)",#N/A,FALSE,"June YTD"}</definedName>
    <definedName name="ввв" hidden="1">{"det (May)",#N/A,FALSE,"June";"sum (MAY YTD)",#N/A,FALSE,"June YTD"}</definedName>
    <definedName name="ก" hidden="1">{#N/A,#N/A,FALSE,"BBPREP"}</definedName>
    <definedName name="ㄱㄱㄱㄱ" hidden="1">{#N/A,#N/A,FALSE,"지침";#N/A,#N/A,FALSE,"환경분석";#N/A,#N/A,FALSE,"Sheet16"}</definedName>
    <definedName name="가나" hidden="1">{#N/A,#N/A,FALSE,"지침";#N/A,#N/A,FALSE,"환경분석";#N/A,#N/A,FALSE,"Sheet16"}</definedName>
    <definedName name="경제성" hidden="1">{#N/A,#N/A,FALSE,"지침";#N/A,#N/A,FALSE,"환경분석";#N/A,#N/A,FALSE,"Sheet16"}</definedName>
    <definedName name="고" hidden="1">{#N/A,#N/A,FALSE,"지침";#N/A,#N/A,FALSE,"환경분석";#N/A,#N/A,FALSE,"Sheet16"}</definedName>
    <definedName name="광" hidden="1">{#N/A,#N/A,FALSE,"지침";#N/A,#N/A,FALSE,"환경분석";#N/A,#N/A,FALSE,"Sheet16"}</definedName>
    <definedName name="김재현" hidden="1">{#N/A,#N/A,FALSE,"지침";#N/A,#N/A,FALSE,"환경분석";#N/A,#N/A,FALSE,"Sheet16"}</definedName>
    <definedName name="ㄴㅇㄹ호" hidden="1">{#N/A,#N/A,FALSE,"지침";#N/A,#N/A,FALSE,"환경분석";#N/A,#N/A,FALSE,"Sheet16"}</definedName>
    <definedName name="도면" hidden="1">#REF!</definedName>
    <definedName name="리스료" hidden="1">{#N/A,#N/A,FALSE,"지침";#N/A,#N/A,FALSE,"환경분석";#N/A,#N/A,FALSE,"Sheet16"}</definedName>
    <definedName name="ㅀ효ㅇㄱ쇼셔ㅓ쇼ㅓ" hidden="1">{#N/A,#N/A,FALSE,"지침";#N/A,#N/A,FALSE,"환경분석";#N/A,#N/A,FALSE,"Sheet16"}</definedName>
    <definedName name="ㅁ" hidden="1">{#N/A,#N/A,FALSE,"지침";#N/A,#N/A,FALSE,"환경분석";#N/A,#N/A,FALSE,"Sheet16"}</definedName>
    <definedName name="ㅁㅁ" hidden="1">{"det (May)",#N/A,FALSE,"June";"sum (MAY YTD)",#N/A,FALSE,"June YTD"}</definedName>
    <definedName name="ㅁㅁㅁ" hidden="1">{#N/A,#N/A,FALSE,"지침";#N/A,#N/A,FALSE,"환경분석";#N/A,#N/A,FALSE,"Sheet16"}</definedName>
    <definedName name="비상l" hidden="1">{#N/A,#N/A,FALSE,"지침";#N/A,#N/A,FALSE,"환경분석";#N/A,#N/A,FALSE,"Sheet16"}</definedName>
    <definedName name="사" hidden="1">{#N/A,#N/A,FALSE,"지침";#N/A,#N/A,FALSE,"환경분석";#N/A,#N/A,FALSE,"Sheet16"}</definedName>
    <definedName name="사1" hidden="1">{#N/A,#N/A,FALSE,"지침";#N/A,#N/A,FALSE,"환경분석";#N/A,#N/A,FALSE,"Sheet16"}</definedName>
    <definedName name="생2" hidden="1">{#N/A,#N/A,FALSE,"지침";#N/A,#N/A,FALSE,"환경분석";#N/A,#N/A,FALSE,"Sheet16"}</definedName>
    <definedName name="ㅇ" hidden="1">{#N/A,#N/A,FALSE,"지침";#N/A,#N/A,FALSE,"환경분석";#N/A,#N/A,FALSE,"Sheet16"}</definedName>
    <definedName name="ㅇㅇㅇㅇㅇ" hidden="1">{#N/A,#N/A,FALSE,"지침";#N/A,#N/A,FALSE,"환경분석";#N/A,#N/A,FALSE,"Sheet16"}</definedName>
    <definedName name="양식" hidden="1">{#N/A,#N/A,FALSE,"지침";#N/A,#N/A,FALSE,"환경분석";#N/A,#N/A,FALSE,"Sheet16"}</definedName>
    <definedName name="양식1" hidden="1">{#N/A,#N/A,FALSE,"지침";#N/A,#N/A,FALSE,"환경분석";#N/A,#N/A,FALSE,"Sheet16"}</definedName>
    <definedName name="예산" hidden="1">{#N/A,#N/A,FALSE,"지침";#N/A,#N/A,FALSE,"환경분석";#N/A,#N/A,FALSE,"Sheet16"}</definedName>
    <definedName name="인쇄" hidden="1">{#N/A,#N/A,FALSE,"지침";#N/A,#N/A,FALSE,"환경분석";#N/A,#N/A,FALSE,"Sheet16"}</definedName>
    <definedName name="인쇄BU" hidden="1">{#N/A,#N/A,FALSE,"지침";#N/A,#N/A,FALSE,"환경분석";#N/A,#N/A,FALSE,"Sheet16"}</definedName>
    <definedName name="일반경비" hidden="1">{#N/A,#N/A,FALSE,"지침";#N/A,#N/A,FALSE,"환경분석";#N/A,#N/A,FALSE,"Sheet16"}</definedName>
    <definedName name="ㅈㅈㅈ" hidden="1">{#N/A,#N/A,FALSE,"지침";#N/A,#N/A,FALSE,"환경분석";#N/A,#N/A,FALSE,"Sheet16"}</definedName>
    <definedName name="전략부품" hidden="1">{#N/A,#N/A,FALSE,"지침";#N/A,#N/A,FALSE,"환경분석";#N/A,#N/A,FALSE,"Sheet16"}</definedName>
    <definedName name="제품I067606" hidden="1">{#N/A,#N/A,FALSE,"지침";#N/A,#N/A,FALSE,"환경분석";#N/A,#N/A,FALSE,"Sheet16"}</definedName>
    <definedName name="주" hidden="1">{#N/A,#N/A,FALSE,"지침";#N/A,#N/A,FALSE,"환경분석";#N/A,#N/A,FALSE,"Sheet16"}</definedName>
    <definedName name="청원공장1" hidden="1">{#N/A,#N/A,FALSE,"지침";#N/A,#N/A,FALSE,"환경분석";#N/A,#N/A,FALSE,"Sheet16"}</definedName>
    <definedName name="프로" hidden="1">{#N/A,#N/A,FALSE,"지침";#N/A,#N/A,FALSE,"환경분석";#N/A,#N/A,FALSE,"Sheet16"}</definedName>
    <definedName name="ㅏㅓ" hidden="1">{#N/A,#N/A,FALSE,"지침";#N/A,#N/A,FALSE,"환경분석";#N/A,#N/A,FALSE,"Sheet16"}</definedName>
    <definedName name="ㅐㅐㅐ" hidden="1">{#N/A,#N/A,FALSE,"지침";#N/A,#N/A,FALSE,"환경분석";#N/A,#N/A,FALSE,"Sheet16"}</definedName>
    <definedName name="ㅓㅗㅎ헛" hidden="1">{#N/A,#N/A,FALSE,"지침";#N/A,#N/A,FALSE,"환경분석";#N/A,#N/A,FALSE,"Sheet16"}</definedName>
    <definedName name="ㅔ" hidden="1">{#N/A,#N/A,FALSE,"지침";#N/A,#N/A,FALSE,"환경분석";#N/A,#N/A,FALSE,"Sheet16"}</definedName>
    <definedName name="ㅠㅠㅠ" hidden="1">{#N/A,#N/A,FALSE,"지침";#N/A,#N/A,FALSE,"환경분석";#N/A,#N/A,FALSE,"Sheet16"}</definedName>
    <definedName name="ㅡㅡㅡ" hidden="1">{#N/A,#N/A,FALSE,"지침";#N/A,#N/A,FALSE,"환경분석";#N/A,#N/A,FALSE,"Sheet16"}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2" i="33" l="1"/>
  <c r="AG20" i="33"/>
  <c r="AG15" i="33"/>
  <c r="AH17" i="33" s="1"/>
  <c r="AI17" i="33"/>
  <c r="AH12" i="33"/>
  <c r="AG11" i="33"/>
  <c r="AI11" i="33"/>
  <c r="AJ11" i="33"/>
  <c r="AH11" i="33"/>
  <c r="L19" i="29"/>
  <c r="A4" i="36"/>
  <c r="C2" i="36"/>
  <c r="E19" i="29"/>
  <c r="B1" i="29"/>
  <c r="L38" i="29"/>
  <c r="L37" i="29"/>
  <c r="L36" i="29"/>
  <c r="L35" i="29"/>
  <c r="L27" i="29"/>
  <c r="L26" i="29"/>
  <c r="L22" i="29"/>
  <c r="P22" i="29" l="1"/>
  <c r="M22" i="29"/>
  <c r="O156" i="35"/>
  <c r="N156" i="35"/>
  <c r="M156" i="35"/>
  <c r="L156" i="35"/>
  <c r="O157" i="35"/>
  <c r="N157" i="35"/>
  <c r="M157" i="35"/>
  <c r="L157" i="35"/>
  <c r="L155" i="35"/>
  <c r="O153" i="35"/>
  <c r="N153" i="35"/>
  <c r="M153" i="35"/>
  <c r="L153" i="35"/>
  <c r="Q118" i="35"/>
  <c r="P118" i="35"/>
  <c r="O118" i="35"/>
  <c r="N118" i="35"/>
  <c r="O80" i="35"/>
  <c r="O78" i="35"/>
  <c r="O79" i="35"/>
  <c r="O46" i="35"/>
  <c r="O48" i="35"/>
  <c r="O49" i="35"/>
  <c r="O50" i="35"/>
  <c r="Q83" i="35"/>
  <c r="P83" i="35"/>
  <c r="O83" i="35"/>
  <c r="N83" i="35"/>
  <c r="N80" i="35"/>
  <c r="Q80" i="35"/>
  <c r="P80" i="35"/>
  <c r="Q79" i="35"/>
  <c r="P79" i="35"/>
  <c r="N78" i="35"/>
  <c r="Q81" i="35" l="1"/>
  <c r="Q85" i="35" s="1"/>
  <c r="N79" i="35"/>
  <c r="N81" i="35" s="1"/>
  <c r="Q78" i="35"/>
  <c r="P78" i="35"/>
  <c r="P81" i="35" s="1"/>
  <c r="P85" i="35" s="1"/>
  <c r="O81" i="35"/>
  <c r="Q50" i="35"/>
  <c r="P50" i="35"/>
  <c r="N50" i="35"/>
  <c r="Q49" i="35"/>
  <c r="P49" i="35"/>
  <c r="N49" i="35"/>
  <c r="Q48" i="35"/>
  <c r="P48" i="35"/>
  <c r="N48" i="35"/>
  <c r="Q47" i="35"/>
  <c r="P47" i="35"/>
  <c r="O47" i="35"/>
  <c r="N47" i="35"/>
  <c r="Q46" i="35"/>
  <c r="Q51" i="35" s="1"/>
  <c r="P46" i="35"/>
  <c r="P51" i="35" s="1"/>
  <c r="O51" i="35"/>
  <c r="N46" i="35"/>
  <c r="N51" i="35" s="1"/>
  <c r="Q18" i="35"/>
  <c r="P18" i="35"/>
  <c r="O18" i="35"/>
  <c r="N18" i="35"/>
  <c r="Q14" i="35"/>
  <c r="P14" i="35"/>
  <c r="O14" i="35"/>
  <c r="N14" i="35"/>
  <c r="Q10" i="35"/>
  <c r="Q3" i="35" s="1"/>
  <c r="P10" i="35"/>
  <c r="P3" i="35" s="1"/>
  <c r="P4" i="35" s="1"/>
  <c r="P9" i="35" s="1"/>
  <c r="P11" i="35" s="1"/>
  <c r="P12" i="35" s="1"/>
  <c r="O10" i="35"/>
  <c r="O11" i="35" s="1"/>
  <c r="O12" i="35" s="1"/>
  <c r="N10" i="35"/>
  <c r="Q7" i="35"/>
  <c r="P7" i="35"/>
  <c r="O7" i="35"/>
  <c r="N7" i="35"/>
  <c r="Q6" i="35"/>
  <c r="P6" i="35"/>
  <c r="O6" i="35"/>
  <c r="N6" i="35"/>
  <c r="O3" i="35"/>
  <c r="O4" i="35" s="1"/>
  <c r="O9" i="35" s="1"/>
  <c r="N3" i="35"/>
  <c r="Q2" i="35"/>
  <c r="P2" i="35"/>
  <c r="O2" i="35"/>
  <c r="N2" i="35"/>
  <c r="N4" i="35" s="1"/>
  <c r="N9" i="35" s="1"/>
  <c r="L38" i="31"/>
  <c r="M38" i="31" s="1"/>
  <c r="N38" i="31" s="1"/>
  <c r="O38" i="31" s="1"/>
  <c r="P38" i="31" s="1"/>
  <c r="B33" i="31"/>
  <c r="G25" i="31"/>
  <c r="G22" i="31"/>
  <c r="G12" i="31"/>
  <c r="J2" i="36" s="1"/>
  <c r="P11" i="31"/>
  <c r="F61" i="31" s="1"/>
  <c r="G11" i="31"/>
  <c r="F56" i="31" s="1"/>
  <c r="G10" i="31"/>
  <c r="J1" i="36" s="1"/>
  <c r="B4" i="31"/>
  <c r="K168" i="29"/>
  <c r="J168" i="29"/>
  <c r="I168" i="29"/>
  <c r="H168" i="29"/>
  <c r="K167" i="29"/>
  <c r="L165" i="29" s="1"/>
  <c r="J167" i="29"/>
  <c r="K165" i="29" s="1"/>
  <c r="I167" i="29"/>
  <c r="J165" i="29" s="1"/>
  <c r="H167" i="29"/>
  <c r="I165" i="29" s="1"/>
  <c r="L166" i="29"/>
  <c r="K166" i="29"/>
  <c r="J166" i="29"/>
  <c r="I166" i="29"/>
  <c r="H166" i="29"/>
  <c r="K162" i="29"/>
  <c r="L159" i="29" s="1"/>
  <c r="J162" i="29"/>
  <c r="K159" i="29" s="1"/>
  <c r="I162" i="29"/>
  <c r="J159" i="29" s="1"/>
  <c r="H162" i="29"/>
  <c r="I159" i="29" s="1"/>
  <c r="K161" i="29"/>
  <c r="J161" i="29"/>
  <c r="I161" i="29"/>
  <c r="H161" i="29"/>
  <c r="K160" i="29"/>
  <c r="J160" i="29"/>
  <c r="I160" i="29"/>
  <c r="H160" i="29"/>
  <c r="K154" i="29"/>
  <c r="J154" i="29"/>
  <c r="I154" i="29"/>
  <c r="H154" i="29"/>
  <c r="K153" i="29"/>
  <c r="J153" i="29"/>
  <c r="I153" i="29"/>
  <c r="H153" i="29"/>
  <c r="K152" i="29"/>
  <c r="J152" i="29"/>
  <c r="I152" i="29"/>
  <c r="H152" i="29"/>
  <c r="B148" i="29"/>
  <c r="B145" i="29"/>
  <c r="K141" i="29"/>
  <c r="L139" i="29" s="1"/>
  <c r="J141" i="29"/>
  <c r="K139" i="29" s="1"/>
  <c r="I141" i="29"/>
  <c r="J139" i="29" s="1"/>
  <c r="H141" i="29"/>
  <c r="I139" i="29" s="1"/>
  <c r="K135" i="29"/>
  <c r="J135" i="29"/>
  <c r="I135" i="29"/>
  <c r="H135" i="29"/>
  <c r="L133" i="29"/>
  <c r="L132" i="29"/>
  <c r="K129" i="29"/>
  <c r="J129" i="29"/>
  <c r="I129" i="29"/>
  <c r="H129" i="29"/>
  <c r="K123" i="29"/>
  <c r="J123" i="29"/>
  <c r="I123" i="29"/>
  <c r="H123" i="29"/>
  <c r="B118" i="29"/>
  <c r="B115" i="29"/>
  <c r="K108" i="29"/>
  <c r="J108" i="29"/>
  <c r="I108" i="29"/>
  <c r="H108" i="29"/>
  <c r="K106" i="29"/>
  <c r="J106" i="29"/>
  <c r="I106" i="29"/>
  <c r="H106" i="29"/>
  <c r="K99" i="29"/>
  <c r="K103" i="29" s="1"/>
  <c r="J99" i="29"/>
  <c r="J103" i="29" s="1"/>
  <c r="I99" i="29"/>
  <c r="I103" i="29" s="1"/>
  <c r="H99" i="29"/>
  <c r="H103" i="29" s="1"/>
  <c r="L98" i="29"/>
  <c r="M98" i="29" s="1"/>
  <c r="N98" i="29" s="1"/>
  <c r="O98" i="29" s="1"/>
  <c r="P98" i="29" s="1"/>
  <c r="K92" i="29"/>
  <c r="K109" i="29" s="1"/>
  <c r="J92" i="29"/>
  <c r="J109" i="29" s="1"/>
  <c r="I92" i="29"/>
  <c r="I109" i="29" s="1"/>
  <c r="H92" i="29"/>
  <c r="H109" i="29" s="1"/>
  <c r="L91" i="29"/>
  <c r="M91" i="29" s="1"/>
  <c r="N91" i="29" s="1"/>
  <c r="O91" i="29" s="1"/>
  <c r="P91" i="29" s="1"/>
  <c r="B82" i="29"/>
  <c r="B79" i="29"/>
  <c r="K71" i="29"/>
  <c r="J71" i="29"/>
  <c r="I71" i="29"/>
  <c r="H71" i="29"/>
  <c r="I53" i="29"/>
  <c r="I24" i="29" s="1"/>
  <c r="H53" i="29"/>
  <c r="H24" i="29" s="1"/>
  <c r="K50" i="29"/>
  <c r="K31" i="29" s="1"/>
  <c r="J50" i="29"/>
  <c r="J31" i="29" s="1"/>
  <c r="I50" i="29"/>
  <c r="H50" i="29"/>
  <c r="I23" i="29" s="1"/>
  <c r="L49" i="29"/>
  <c r="AK11" i="33" s="1"/>
  <c r="B45" i="29"/>
  <c r="B42" i="29"/>
  <c r="Q41" i="29"/>
  <c r="M37" i="29"/>
  <c r="M133" i="29" s="1"/>
  <c r="K37" i="29"/>
  <c r="J37" i="29"/>
  <c r="I37" i="29"/>
  <c r="H37" i="29"/>
  <c r="M36" i="29"/>
  <c r="M132" i="29" s="1"/>
  <c r="K36" i="29"/>
  <c r="J36" i="29"/>
  <c r="I36" i="29"/>
  <c r="H36" i="29"/>
  <c r="M35" i="29"/>
  <c r="N35" i="29" s="1"/>
  <c r="O35" i="29" s="1"/>
  <c r="P35" i="29" s="1"/>
  <c r="K35" i="29"/>
  <c r="J35" i="29"/>
  <c r="I35" i="29"/>
  <c r="H35" i="29"/>
  <c r="K34" i="29"/>
  <c r="J34" i="29"/>
  <c r="I34" i="29"/>
  <c r="H34" i="29"/>
  <c r="K32" i="29"/>
  <c r="J32" i="29"/>
  <c r="I32" i="29"/>
  <c r="H32" i="29"/>
  <c r="K29" i="29"/>
  <c r="J29" i="29"/>
  <c r="I29" i="29"/>
  <c r="H29" i="29"/>
  <c r="M27" i="29"/>
  <c r="N27" i="29" s="1"/>
  <c r="O27" i="29" s="1"/>
  <c r="P27" i="29" s="1"/>
  <c r="K26" i="29"/>
  <c r="J26" i="29"/>
  <c r="I26" i="29"/>
  <c r="H26" i="29"/>
  <c r="K25" i="29"/>
  <c r="J25" i="29"/>
  <c r="I25" i="29"/>
  <c r="H25" i="29"/>
  <c r="K24" i="29"/>
  <c r="J24" i="29"/>
  <c r="N22" i="29"/>
  <c r="O22" i="29" s="1"/>
  <c r="K22" i="29"/>
  <c r="J22" i="29"/>
  <c r="I22" i="29"/>
  <c r="H15" i="29"/>
  <c r="P14" i="29"/>
  <c r="P12" i="31" s="1"/>
  <c r="P12" i="29"/>
  <c r="K10" i="29"/>
  <c r="B5" i="29"/>
  <c r="Q4" i="29"/>
  <c r="Q144" i="29" s="1"/>
  <c r="E1" i="29"/>
  <c r="AK8" i="33"/>
  <c r="AL8" i="33" s="1"/>
  <c r="AM8" i="33" s="1"/>
  <c r="AN8" i="33" s="1"/>
  <c r="AO8" i="33" s="1"/>
  <c r="AC5" i="33"/>
  <c r="B1" i="33"/>
  <c r="B13" i="27"/>
  <c r="F24" i="36" l="1" a="1"/>
  <c r="F24" i="36" s="1"/>
  <c r="F25" i="36" a="1"/>
  <c r="F25" i="36" s="1"/>
  <c r="F26" i="36" a="1"/>
  <c r="F26" i="36" s="1"/>
  <c r="I31" i="29"/>
  <c r="F23" i="36" a="1"/>
  <c r="F23" i="36" s="1"/>
  <c r="F11" i="36" a="1"/>
  <c r="F11" i="36" s="1"/>
  <c r="F15" i="36" a="1"/>
  <c r="F15" i="36" s="1"/>
  <c r="F21" i="36" a="1"/>
  <c r="F21" i="36" s="1"/>
  <c r="J21" i="36" s="1"/>
  <c r="K21" i="36" s="1"/>
  <c r="L32" i="29" s="1"/>
  <c r="F18" i="36" a="1"/>
  <c r="F18" i="36" s="1"/>
  <c r="F13" i="36" a="1"/>
  <c r="F14" i="36" a="1"/>
  <c r="K23" i="29"/>
  <c r="K30" i="29"/>
  <c r="J70" i="29"/>
  <c r="P15" i="29"/>
  <c r="J30" i="29"/>
  <c r="J23" i="29"/>
  <c r="I30" i="29"/>
  <c r="L51" i="31"/>
  <c r="M51" i="31" s="1"/>
  <c r="N51" i="31" s="1"/>
  <c r="O51" i="31" s="1"/>
  <c r="P51" i="31" s="1"/>
  <c r="Q51" i="31" s="1"/>
  <c r="F66" i="31"/>
  <c r="L167" i="29"/>
  <c r="M165" i="29" s="1"/>
  <c r="D1" i="31"/>
  <c r="D1" i="29"/>
  <c r="L8" i="31"/>
  <c r="A10" i="31"/>
  <c r="AI12" i="33"/>
  <c r="AJ8" i="33"/>
  <c r="AI8" i="33" s="1"/>
  <c r="AH8" i="33" s="1"/>
  <c r="AJ12" i="33"/>
  <c r="H111" i="29"/>
  <c r="H2" i="29" s="1"/>
  <c r="J51" i="29"/>
  <c r="J55" i="29" s="1"/>
  <c r="K70" i="29"/>
  <c r="G13" i="31"/>
  <c r="F19" i="31" s="1"/>
  <c r="H155" i="29"/>
  <c r="J155" i="29"/>
  <c r="K156" i="29" s="1"/>
  <c r="F1" i="31"/>
  <c r="P10" i="31"/>
  <c r="F60" i="31" s="1"/>
  <c r="F59" i="31"/>
  <c r="N36" i="29"/>
  <c r="N166" i="29" s="1"/>
  <c r="K51" i="29"/>
  <c r="K55" i="29" s="1"/>
  <c r="K155" i="29"/>
  <c r="L1" i="31"/>
  <c r="P32" i="31"/>
  <c r="AK12" i="33"/>
  <c r="H30" i="29"/>
  <c r="F19" i="36" s="1" a="1"/>
  <c r="H31" i="29"/>
  <c r="F20" i="36" s="1" a="1"/>
  <c r="J111" i="29"/>
  <c r="J2" i="29" s="1"/>
  <c r="Q114" i="29"/>
  <c r="H23" i="29"/>
  <c r="F12" i="36" s="1" a="1"/>
  <c r="H51" i="29"/>
  <c r="H55" i="29" s="1"/>
  <c r="H107" i="29" s="1"/>
  <c r="Q78" i="29"/>
  <c r="K111" i="29"/>
  <c r="K2" i="29" s="1"/>
  <c r="K51" i="31"/>
  <c r="M26" i="29"/>
  <c r="N26" i="29" s="1"/>
  <c r="O26" i="29" s="1"/>
  <c r="P26" i="29" s="1"/>
  <c r="I51" i="29"/>
  <c r="H70" i="29"/>
  <c r="I155" i="29"/>
  <c r="J156" i="29" s="1"/>
  <c r="N37" i="29"/>
  <c r="M166" i="29"/>
  <c r="M49" i="29"/>
  <c r="AL11" i="33" s="1"/>
  <c r="Q4" i="35"/>
  <c r="Q9" i="35" s="1"/>
  <c r="Q11" i="35" s="1"/>
  <c r="Q12" i="35" s="1"/>
  <c r="I70" i="29"/>
  <c r="I111" i="29"/>
  <c r="I2" i="29" s="1"/>
  <c r="L168" i="29"/>
  <c r="L60" i="29" s="1"/>
  <c r="P16" i="35"/>
  <c r="P20" i="35" s="1"/>
  <c r="N11" i="35"/>
  <c r="O16" i="35"/>
  <c r="O20" i="35" s="1"/>
  <c r="N85" i="35"/>
  <c r="O85" i="35"/>
  <c r="J18" i="36" l="1"/>
  <c r="L29" i="29" s="1"/>
  <c r="M29" i="29" s="1"/>
  <c r="N29" i="29" s="1"/>
  <c r="O29" i="29" s="1"/>
  <c r="P29" i="29" s="1"/>
  <c r="L21" i="36"/>
  <c r="M21" i="36" s="1"/>
  <c r="F20" i="36"/>
  <c r="J20" i="36"/>
  <c r="L31" i="29" s="1"/>
  <c r="M31" i="29" s="1"/>
  <c r="N31" i="29" s="1"/>
  <c r="J12" i="36"/>
  <c r="L23" i="29" s="1"/>
  <c r="L50" i="29" s="1"/>
  <c r="F12" i="36"/>
  <c r="F13" i="36"/>
  <c r="J13" i="36"/>
  <c r="L24" i="29" s="1"/>
  <c r="J19" i="36"/>
  <c r="L30" i="29" s="1"/>
  <c r="M30" i="29" s="1"/>
  <c r="N30" i="29" s="1"/>
  <c r="O30" i="29" s="1"/>
  <c r="P30" i="29" s="1"/>
  <c r="F19" i="36"/>
  <c r="J14" i="36"/>
  <c r="L25" i="29" s="1"/>
  <c r="M25" i="29" s="1"/>
  <c r="N25" i="29" s="1"/>
  <c r="O25" i="29" s="1"/>
  <c r="P25" i="29" s="1"/>
  <c r="F14" i="36"/>
  <c r="L54" i="29"/>
  <c r="M32" i="29"/>
  <c r="L97" i="29"/>
  <c r="I156" i="29"/>
  <c r="O36" i="29"/>
  <c r="P36" i="29" s="1"/>
  <c r="F20" i="31"/>
  <c r="F18" i="31" s="1"/>
  <c r="G19" i="31" s="1"/>
  <c r="N132" i="29"/>
  <c r="P13" i="31"/>
  <c r="K52" i="31" s="1"/>
  <c r="K53" i="31" s="1"/>
  <c r="AJ15" i="33"/>
  <c r="K58" i="29"/>
  <c r="K68" i="29" s="1"/>
  <c r="K107" i="29"/>
  <c r="F23" i="31"/>
  <c r="M1" i="31"/>
  <c r="N1" i="31" s="1"/>
  <c r="O1" i="31" s="1"/>
  <c r="P1" i="31" s="1"/>
  <c r="L19" i="31" s="1"/>
  <c r="J58" i="29"/>
  <c r="J68" i="29" s="1"/>
  <c r="I55" i="29"/>
  <c r="H58" i="29"/>
  <c r="H68" i="29" s="1"/>
  <c r="J107" i="29"/>
  <c r="AI15" i="33"/>
  <c r="K56" i="31" a="1"/>
  <c r="K56" i="31" s="1"/>
  <c r="N133" i="29"/>
  <c r="O37" i="29"/>
  <c r="AL12" i="33"/>
  <c r="N49" i="29"/>
  <c r="AM11" i="33" s="1"/>
  <c r="M168" i="29"/>
  <c r="M60" i="29" s="1"/>
  <c r="M167" i="29"/>
  <c r="N12" i="35"/>
  <c r="N16" i="35"/>
  <c r="N20" i="35" s="1"/>
  <c r="Q16" i="35"/>
  <c r="Q20" i="35" s="1"/>
  <c r="L96" i="29" l="1"/>
  <c r="L154" i="29" s="1"/>
  <c r="M88" i="29"/>
  <c r="M152" i="29" s="1"/>
  <c r="L89" i="29"/>
  <c r="L153" i="29" s="1"/>
  <c r="L51" i="29"/>
  <c r="M23" i="29"/>
  <c r="N23" i="29" s="1"/>
  <c r="O23" i="29" s="1"/>
  <c r="P23" i="29" s="1"/>
  <c r="L88" i="29"/>
  <c r="L152" i="29" s="1"/>
  <c r="M24" i="29"/>
  <c r="L53" i="29"/>
  <c r="L161" i="29"/>
  <c r="L44" i="31" s="1"/>
  <c r="M54" i="29"/>
  <c r="N32" i="29"/>
  <c r="O166" i="29"/>
  <c r="O132" i="29"/>
  <c r="G20" i="31"/>
  <c r="G18" i="31" s="1"/>
  <c r="K61" i="29"/>
  <c r="J61" i="29"/>
  <c r="J27" i="29" s="1"/>
  <c r="H61" i="29"/>
  <c r="H27" i="29" s="1"/>
  <c r="AH15" i="33"/>
  <c r="AH16" i="33" s="1"/>
  <c r="I107" i="29"/>
  <c r="L26" i="31"/>
  <c r="F26" i="31"/>
  <c r="AI16" i="33"/>
  <c r="AJ16" i="33"/>
  <c r="AJ17" i="33"/>
  <c r="I58" i="29"/>
  <c r="I68" i="29" s="1"/>
  <c r="J64" i="29"/>
  <c r="P37" i="29"/>
  <c r="P133" i="29" s="1"/>
  <c r="O133" i="29"/>
  <c r="P166" i="29"/>
  <c r="P132" i="29"/>
  <c r="O49" i="29"/>
  <c r="AN11" i="33" s="1"/>
  <c r="N88" i="29"/>
  <c r="N152" i="29" s="1"/>
  <c r="AM12" i="33"/>
  <c r="N165" i="29"/>
  <c r="M97" i="29"/>
  <c r="O31" i="29"/>
  <c r="L155" i="29" l="1"/>
  <c r="L156" i="29" s="1"/>
  <c r="L48" i="31" s="1"/>
  <c r="L99" i="29"/>
  <c r="N50" i="29"/>
  <c r="N89" i="29" s="1"/>
  <c r="N153" i="29" s="1"/>
  <c r="M50" i="29"/>
  <c r="M89" i="29" s="1"/>
  <c r="M153" i="29" s="1"/>
  <c r="L55" i="29"/>
  <c r="AK15" i="33" s="1"/>
  <c r="AK17" i="33" s="1"/>
  <c r="L57" i="29"/>
  <c r="K23" i="36" s="1"/>
  <c r="N24" i="29"/>
  <c r="M53" i="29"/>
  <c r="N54" i="29"/>
  <c r="O32" i="29"/>
  <c r="M23" i="36"/>
  <c r="G29" i="31"/>
  <c r="P24" i="31" s="1"/>
  <c r="K27" i="29"/>
  <c r="K64" i="29"/>
  <c r="H64" i="29"/>
  <c r="M38" i="29"/>
  <c r="N38" i="29" s="1"/>
  <c r="O38" i="29" s="1"/>
  <c r="P38" i="29" s="1"/>
  <c r="J38" i="29"/>
  <c r="AI20" i="33"/>
  <c r="J74" i="29"/>
  <c r="J69" i="29"/>
  <c r="J122" i="29"/>
  <c r="J75" i="29"/>
  <c r="I61" i="29"/>
  <c r="I27" i="29" s="1"/>
  <c r="AN12" i="33"/>
  <c r="P49" i="29"/>
  <c r="AO11" i="33" s="1"/>
  <c r="O88" i="29"/>
  <c r="O152" i="29" s="1"/>
  <c r="O50" i="29"/>
  <c r="O89" i="29" s="1"/>
  <c r="O153" i="29" s="1"/>
  <c r="N167" i="29"/>
  <c r="N168" i="29"/>
  <c r="N60" i="29" s="1"/>
  <c r="P31" i="29"/>
  <c r="L124" i="29" l="1"/>
  <c r="L23" i="36"/>
  <c r="L34" i="29"/>
  <c r="L128" i="29" s="1"/>
  <c r="L129" i="29" s="1"/>
  <c r="L123" i="29"/>
  <c r="L58" i="29"/>
  <c r="L68" i="29" s="1"/>
  <c r="M96" i="29"/>
  <c r="M154" i="29" s="1"/>
  <c r="M155" i="29" s="1"/>
  <c r="M156" i="29" s="1"/>
  <c r="M48" i="31" s="1"/>
  <c r="M51" i="29"/>
  <c r="M55" i="29" s="1"/>
  <c r="AL15" i="33" s="1"/>
  <c r="AL16" i="33" s="1"/>
  <c r="N51" i="29"/>
  <c r="AK16" i="33"/>
  <c r="N96" i="29"/>
  <c r="N154" i="29" s="1"/>
  <c r="N155" i="29" s="1"/>
  <c r="O24" i="29"/>
  <c r="N53" i="29"/>
  <c r="J23" i="36"/>
  <c r="F16" i="36" a="1"/>
  <c r="F16" i="36" s="1"/>
  <c r="O54" i="29"/>
  <c r="P32" i="29"/>
  <c r="P54" i="29" s="1"/>
  <c r="F57" i="31"/>
  <c r="K122" i="29"/>
  <c r="K125" i="29" s="1"/>
  <c r="K138" i="29" s="1"/>
  <c r="K140" i="29" s="1"/>
  <c r="K75" i="29"/>
  <c r="K74" i="29"/>
  <c r="K38" i="29"/>
  <c r="AJ20" i="33"/>
  <c r="AJ21" i="33" s="1"/>
  <c r="K69" i="29"/>
  <c r="H75" i="29"/>
  <c r="H38" i="29"/>
  <c r="H74" i="29"/>
  <c r="H122" i="29"/>
  <c r="H125" i="29" s="1"/>
  <c r="H138" i="29" s="1"/>
  <c r="H140" i="29" s="1"/>
  <c r="H69" i="29"/>
  <c r="AI21" i="33"/>
  <c r="I64" i="29"/>
  <c r="J125" i="29"/>
  <c r="J138" i="29" s="1"/>
  <c r="J140" i="29" s="1"/>
  <c r="L47" i="31"/>
  <c r="O96" i="29"/>
  <c r="O154" i="29" s="1"/>
  <c r="O155" i="29" s="1"/>
  <c r="P50" i="29"/>
  <c r="P89" i="29" s="1"/>
  <c r="P153" i="29" s="1"/>
  <c r="P88" i="29"/>
  <c r="P152" i="29" s="1"/>
  <c r="AO12" i="33"/>
  <c r="O51" i="29"/>
  <c r="O165" i="29"/>
  <c r="N97" i="29"/>
  <c r="M124" i="29" l="1"/>
  <c r="L160" i="29"/>
  <c r="L162" i="29" s="1"/>
  <c r="L90" i="29" s="1"/>
  <c r="L71" i="29" s="1"/>
  <c r="N156" i="29"/>
  <c r="N124" i="29" s="1"/>
  <c r="L40" i="31"/>
  <c r="L41" i="31" s="1"/>
  <c r="L42" i="31" s="1"/>
  <c r="L45" i="31" s="1"/>
  <c r="L61" i="29"/>
  <c r="L63" i="29" s="1"/>
  <c r="M99" i="29"/>
  <c r="N55" i="29"/>
  <c r="AM15" i="33" s="1"/>
  <c r="AM17" i="33" s="1"/>
  <c r="AL17" i="33"/>
  <c r="P24" i="29"/>
  <c r="P53" i="29" s="1"/>
  <c r="O53" i="29"/>
  <c r="O55" i="29" s="1"/>
  <c r="AN15" i="33" s="1"/>
  <c r="AJ22" i="33"/>
  <c r="I38" i="29"/>
  <c r="F27" i="36" s="1" a="1"/>
  <c r="F27" i="36" s="1"/>
  <c r="AH20" i="33"/>
  <c r="I74" i="29"/>
  <c r="I69" i="29"/>
  <c r="I122" i="29"/>
  <c r="I75" i="29"/>
  <c r="P96" i="29"/>
  <c r="P154" i="29" s="1"/>
  <c r="P155" i="29" s="1"/>
  <c r="P156" i="29" s="1"/>
  <c r="P51" i="29"/>
  <c r="N99" i="29"/>
  <c r="O156" i="29"/>
  <c r="O167" i="29"/>
  <c r="O168" i="29"/>
  <c r="O60" i="29" s="1"/>
  <c r="N48" i="31" l="1"/>
  <c r="M159" i="29"/>
  <c r="M161" i="29" s="1"/>
  <c r="M57" i="29" s="1"/>
  <c r="L49" i="31"/>
  <c r="L52" i="31" s="1"/>
  <c r="L53" i="31" s="1"/>
  <c r="AM16" i="33"/>
  <c r="L64" i="29"/>
  <c r="L122" i="29" s="1"/>
  <c r="L125" i="29" s="1"/>
  <c r="P55" i="29"/>
  <c r="P19" i="31" s="1"/>
  <c r="P21" i="31" s="1"/>
  <c r="M44" i="31"/>
  <c r="AH21" i="33"/>
  <c r="AI22" i="33"/>
  <c r="I125" i="29"/>
  <c r="I138" i="29" s="1"/>
  <c r="I140" i="29" s="1"/>
  <c r="P124" i="29"/>
  <c r="P48" i="31"/>
  <c r="M34" i="29"/>
  <c r="M128" i="29" s="1"/>
  <c r="M123" i="29"/>
  <c r="M58" i="29"/>
  <c r="M61" i="29" s="1"/>
  <c r="M63" i="29" s="1"/>
  <c r="M64" i="29" s="1"/>
  <c r="AL20" i="33" s="1"/>
  <c r="AN16" i="33"/>
  <c r="AN17" i="33"/>
  <c r="P165" i="29"/>
  <c r="O97" i="29"/>
  <c r="O48" i="31"/>
  <c r="O124" i="29"/>
  <c r="AK20" i="33" l="1"/>
  <c r="AK21" i="33" s="1"/>
  <c r="L134" i="29"/>
  <c r="L135" i="29" s="1"/>
  <c r="L69" i="29"/>
  <c r="AO15" i="33"/>
  <c r="AO16" i="33" s="1"/>
  <c r="M69" i="29"/>
  <c r="M122" i="29"/>
  <c r="M68" i="29"/>
  <c r="M40" i="31"/>
  <c r="M47" i="31"/>
  <c r="M160" i="29"/>
  <c r="M162" i="29" s="1"/>
  <c r="M129" i="29"/>
  <c r="AL21" i="33"/>
  <c r="O99" i="29"/>
  <c r="P167" i="29"/>
  <c r="P97" i="29" s="1"/>
  <c r="P168" i="29"/>
  <c r="P60" i="29" s="1"/>
  <c r="AK22" i="33" l="1"/>
  <c r="L101" i="29"/>
  <c r="L103" i="29" s="1"/>
  <c r="L138" i="29"/>
  <c r="L141" i="29" s="1"/>
  <c r="M139" i="29" s="1"/>
  <c r="AL22" i="33"/>
  <c r="AO17" i="33"/>
  <c r="M125" i="29"/>
  <c r="M134" i="29"/>
  <c r="M135" i="29" s="1"/>
  <c r="M41" i="31"/>
  <c r="M42" i="31" s="1"/>
  <c r="M45" i="31" s="1"/>
  <c r="M49" i="31" s="1"/>
  <c r="M52" i="31" s="1"/>
  <c r="M53" i="31" s="1"/>
  <c r="N159" i="29"/>
  <c r="M90" i="29"/>
  <c r="M71" i="29" s="1"/>
  <c r="P99" i="29"/>
  <c r="L74" i="29" l="1"/>
  <c r="L140" i="29"/>
  <c r="L87" i="29"/>
  <c r="L106" i="29" s="1"/>
  <c r="L107" i="29" s="1"/>
  <c r="L108" i="29"/>
  <c r="M138" i="29"/>
  <c r="M141" i="29" s="1"/>
  <c r="M87" i="29" s="1"/>
  <c r="M106" i="29" s="1"/>
  <c r="M107" i="29" s="1"/>
  <c r="M101" i="29"/>
  <c r="N161" i="29"/>
  <c r="L92" i="29" l="1"/>
  <c r="L70" i="29" s="1"/>
  <c r="M92" i="29"/>
  <c r="M70" i="29" s="1"/>
  <c r="N139" i="29"/>
  <c r="M140" i="29"/>
  <c r="M108" i="29"/>
  <c r="M103" i="29"/>
  <c r="M74" i="29"/>
  <c r="N44" i="31"/>
  <c r="N57" i="29"/>
  <c r="L111" i="29" l="1"/>
  <c r="L2" i="29" s="1"/>
  <c r="L75" i="29"/>
  <c r="L109" i="29"/>
  <c r="M111" i="29"/>
  <c r="M2" i="29" s="1"/>
  <c r="M109" i="29"/>
  <c r="M75" i="29"/>
  <c r="N123" i="29"/>
  <c r="N34" i="29"/>
  <c r="N128" i="29" s="1"/>
  <c r="N58" i="29"/>
  <c r="N40" i="31" l="1"/>
  <c r="N68" i="29"/>
  <c r="N61" i="29"/>
  <c r="N63" i="29" s="1"/>
  <c r="N160" i="29"/>
  <c r="N162" i="29" s="1"/>
  <c r="N129" i="29"/>
  <c r="N47" i="31"/>
  <c r="O159" i="29" l="1"/>
  <c r="N90" i="29"/>
  <c r="N71" i="29" s="1"/>
  <c r="N41" i="31"/>
  <c r="N42" i="31" s="1"/>
  <c r="N45" i="31" s="1"/>
  <c r="N49" i="31" s="1"/>
  <c r="N52" i="31" s="1"/>
  <c r="N64" i="29"/>
  <c r="N53" i="31" l="1"/>
  <c r="N122" i="29"/>
  <c r="N69" i="29"/>
  <c r="AM20" i="33"/>
  <c r="O161" i="29"/>
  <c r="N134" i="29" l="1"/>
  <c r="N135" i="29" s="1"/>
  <c r="AM21" i="33"/>
  <c r="AM22" i="33"/>
  <c r="O44" i="31"/>
  <c r="O57" i="29"/>
  <c r="N125" i="29"/>
  <c r="N138" i="29" l="1"/>
  <c r="N141" i="29" s="1"/>
  <c r="O139" i="29" s="1"/>
  <c r="N101" i="29"/>
  <c r="O123" i="29"/>
  <c r="O34" i="29"/>
  <c r="O128" i="29" s="1"/>
  <c r="O58" i="29"/>
  <c r="N87" i="29" l="1"/>
  <c r="N92" i="29" s="1"/>
  <c r="N140" i="29"/>
  <c r="N74" i="29"/>
  <c r="N103" i="29"/>
  <c r="N108" i="29"/>
  <c r="O61" i="29"/>
  <c r="O63" i="29" s="1"/>
  <c r="O40" i="31"/>
  <c r="O68" i="29"/>
  <c r="O129" i="29"/>
  <c r="O47" i="31"/>
  <c r="O160" i="29"/>
  <c r="O162" i="29" s="1"/>
  <c r="N106" i="29" l="1"/>
  <c r="N107" i="29" s="1"/>
  <c r="O90" i="29"/>
  <c r="O71" i="29" s="1"/>
  <c r="P159" i="29"/>
  <c r="O64" i="29"/>
  <c r="N109" i="29"/>
  <c r="N70" i="29"/>
  <c r="N111" i="29"/>
  <c r="N2" i="29" s="1"/>
  <c r="N75" i="29"/>
  <c r="O41" i="31"/>
  <c r="O42" i="31" s="1"/>
  <c r="O45" i="31" l="1"/>
  <c r="O49" i="31" s="1"/>
  <c r="O52" i="31" s="1"/>
  <c r="AN20" i="33"/>
  <c r="O69" i="29"/>
  <c r="O122" i="29"/>
  <c r="P161" i="29"/>
  <c r="O134" i="29" l="1"/>
  <c r="O135" i="29" s="1"/>
  <c r="O125" i="29"/>
  <c r="P44" i="31"/>
  <c r="P47" i="31" s="1"/>
  <c r="P57" i="29"/>
  <c r="AN22" i="33"/>
  <c r="AN21" i="33"/>
  <c r="O53" i="31"/>
  <c r="O138" i="29" l="1"/>
  <c r="O141" i="29" s="1"/>
  <c r="P139" i="29" s="1"/>
  <c r="O101" i="29"/>
  <c r="P34" i="29"/>
  <c r="P128" i="29" s="1"/>
  <c r="P123" i="29"/>
  <c r="P58" i="29"/>
  <c r="P61" i="29" s="1"/>
  <c r="O140" i="29" l="1"/>
  <c r="O87" i="29"/>
  <c r="O92" i="29" s="1"/>
  <c r="O74" i="29"/>
  <c r="O108" i="29"/>
  <c r="O103" i="29"/>
  <c r="P63" i="29"/>
  <c r="P64" i="29" s="1"/>
  <c r="P129" i="29"/>
  <c r="P160" i="29"/>
  <c r="P162" i="29" s="1"/>
  <c r="P90" i="29" s="1"/>
  <c r="P71" i="29" s="1"/>
  <c r="P40" i="31"/>
  <c r="P68" i="29"/>
  <c r="O106" i="29" l="1"/>
  <c r="O107" i="29" s="1"/>
  <c r="P69" i="29"/>
  <c r="P122" i="29"/>
  <c r="AO20" i="33"/>
  <c r="P41" i="31"/>
  <c r="P42" i="31" s="1"/>
  <c r="P45" i="31" s="1"/>
  <c r="O109" i="29"/>
  <c r="O111" i="29"/>
  <c r="O2" i="29" s="1"/>
  <c r="O70" i="29"/>
  <c r="O75" i="29"/>
  <c r="P134" i="29" l="1"/>
  <c r="P101" i="29" s="1"/>
  <c r="AO22" i="33"/>
  <c r="AO21" i="33"/>
  <c r="P49" i="31"/>
  <c r="P52" i="31" s="1"/>
  <c r="P125" i="29"/>
  <c r="P135" i="29" l="1"/>
  <c r="P138" i="29" s="1"/>
  <c r="P141" i="29" s="1"/>
  <c r="P140" i="29" s="1"/>
  <c r="P103" i="29"/>
  <c r="P74" i="29"/>
  <c r="P108" i="29"/>
  <c r="P26" i="31"/>
  <c r="P27" i="31" s="1"/>
  <c r="P53" i="31"/>
  <c r="L56" i="31" a="1"/>
  <c r="L56" i="31" s="1"/>
  <c r="P87" i="29" l="1"/>
  <c r="P92" i="29" s="1"/>
  <c r="P29" i="31"/>
  <c r="Q52" i="31"/>
  <c r="P106" i="29" l="1"/>
  <c r="P107" i="29" s="1"/>
  <c r="P111" i="29"/>
  <c r="P2" i="29" s="1"/>
  <c r="P70" i="29"/>
  <c r="P109" i="29"/>
  <c r="P75" i="29"/>
  <c r="M61" i="31"/>
  <c r="Q53" i="31"/>
  <c r="F69" i="31"/>
  <c r="F58" i="31"/>
  <c r="F62" i="31" s="1"/>
  <c r="F55" i="31" l="1"/>
  <c r="F67" i="31" s="1"/>
  <c r="K2" i="36" s="1"/>
  <c r="M2" i="36" s="1"/>
  <c r="G1" i="31" l="1"/>
  <c r="E2" i="29"/>
  <c r="F68" i="31"/>
  <c r="P55" i="31"/>
  <c r="K64" i="31"/>
  <c r="F1" i="29" l="1"/>
  <c r="K1" i="31"/>
  <c r="AH5" i="33"/>
  <c r="L1" i="29" l="1"/>
  <c r="M1" i="29" s="1"/>
  <c r="N1" i="29" s="1"/>
  <c r="O1" i="29" s="1"/>
  <c r="P1" i="29" s="1"/>
  <c r="K19" i="29"/>
  <c r="J19" i="29" s="1"/>
  <c r="I19" i="29" s="1"/>
  <c r="H19" i="29" s="1"/>
  <c r="F8" i="36" s="1" a="1"/>
  <c r="F8" i="36" s="1"/>
  <c r="M19" i="29"/>
  <c r="N19" i="29" s="1"/>
  <c r="O19" i="29" s="1"/>
  <c r="P19" i="29" s="1"/>
  <c r="L47" i="29"/>
  <c r="M47" i="29" s="1"/>
  <c r="N47" i="29" s="1"/>
  <c r="O47" i="29" s="1"/>
  <c r="P47" i="29" s="1"/>
  <c r="L84" i="29"/>
  <c r="K84" i="29" s="1"/>
  <c r="J84" i="29" s="1"/>
  <c r="I84" i="29" s="1"/>
  <c r="H84" i="29" s="1"/>
  <c r="L120" i="29"/>
  <c r="M120" i="29" s="1"/>
  <c r="N120" i="29" s="1"/>
  <c r="O120" i="29" s="1"/>
  <c r="P120" i="29" s="1"/>
  <c r="L150" i="29"/>
  <c r="K150" i="29" s="1"/>
  <c r="J150" i="29" s="1"/>
  <c r="I150" i="29" s="1"/>
  <c r="H150" i="29" s="1"/>
  <c r="K120" i="29" l="1"/>
  <c r="J120" i="29" s="1"/>
  <c r="I120" i="29" s="1"/>
  <c r="H120" i="29" s="1"/>
  <c r="K47" i="29"/>
  <c r="J47" i="29" s="1"/>
  <c r="I47" i="29" s="1"/>
  <c r="H47" i="29" s="1"/>
  <c r="K1" i="29"/>
  <c r="J1" i="29" s="1"/>
  <c r="I1" i="29" s="1"/>
  <c r="H1" i="29" s="1"/>
  <c r="M84" i="29"/>
  <c r="N84" i="29" s="1"/>
  <c r="O84" i="29" s="1"/>
  <c r="P84" i="29" s="1"/>
  <c r="M150" i="29"/>
  <c r="N150" i="29" s="1"/>
  <c r="O150" i="29" s="1"/>
  <c r="P150" i="2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4A36B5-609C-4D54-9830-B1C05B22CB53}" keepAlive="1" name="Query - CurvaZero_07102024 (1)" description="Connection to the 'CurvaZero_07102024 (1)' query in the workbook." type="5" refreshedVersion="8" background="1" saveData="1">
    <dbPr connection="Provider=Microsoft.Mashup.OleDb.1;Data Source=$Workbook$;Location=&quot;CurvaZero_07102024 (1)&quot;;Extended Properties=&quot;&quot;" command="SELECT * FROM [CurvaZero_07102024 (1)]"/>
  </connection>
  <connection id="2" xr16:uid="{10F1E844-D01A-4E5E-9685-7376D9220338}" keepAlive="1" name="Query - CurvaZero_07102024 (2)" description="Connection to the 'CurvaZero_07102024 (2)' query in the workbook." type="5" refreshedVersion="8" background="1" saveData="1">
    <dbPr connection="Provider=Microsoft.Mashup.OleDb.1;Data Source=$Workbook$;Location=&quot;CurvaZero_07102024 (2)&quot;;Extended Properties=&quot;&quot;" command="SELECT * FROM [CurvaZero_07102024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<sst xmlns="http://schemas.openxmlformats.org/spreadsheetml/2006/main" count="601" uniqueCount="318">
  <si>
    <t>EBITDA</t>
  </si>
  <si>
    <t>EBIT</t>
  </si>
  <si>
    <t>Operating Cash Flow</t>
  </si>
  <si>
    <t>Check</t>
  </si>
  <si>
    <t>CAPEX</t>
  </si>
  <si>
    <t>-</t>
  </si>
  <si>
    <t>SG&amp;A</t>
  </si>
  <si>
    <t>Lucas Marquetti, CGA CGE CNPI-P | LinkedIn</t>
  </si>
  <si>
    <t>Outros</t>
  </si>
  <si>
    <t>Premissas</t>
  </si>
  <si>
    <t>Depreciação</t>
  </si>
  <si>
    <t>Impostos</t>
  </si>
  <si>
    <t>Estoque</t>
  </si>
  <si>
    <t>DRE</t>
  </si>
  <si>
    <t>COGS</t>
  </si>
  <si>
    <t>Cresc. Receita</t>
  </si>
  <si>
    <t>[Var.%]</t>
  </si>
  <si>
    <t xml:space="preserve">Depreciação </t>
  </si>
  <si>
    <t>Juros</t>
  </si>
  <si>
    <t>Prazo médio de Recebimento</t>
  </si>
  <si>
    <t>Prazo médio de Estoque</t>
  </si>
  <si>
    <t>Prazo médio de Pagamento</t>
  </si>
  <si>
    <t>[R$]</t>
  </si>
  <si>
    <t>Projetado</t>
  </si>
  <si>
    <t>Operacional</t>
  </si>
  <si>
    <t>Investimento/Financiamento</t>
  </si>
  <si>
    <t>Outras Rec(Desp) operaionais</t>
  </si>
  <si>
    <t>Emissão(Recompra) de Equity</t>
  </si>
  <si>
    <t>[dias]</t>
  </si>
  <si>
    <t>Emissão(Amort) de Dívida</t>
  </si>
  <si>
    <t>[ / Receita]</t>
  </si>
  <si>
    <t>[ / Imobilizado]</t>
  </si>
  <si>
    <t>[ / Dívida]</t>
  </si>
  <si>
    <t>[ / EBT]</t>
  </si>
  <si>
    <t>Demonstrativo de Resultado do Exercício</t>
  </si>
  <si>
    <t>(R$ Milhões)</t>
  </si>
  <si>
    <t>Receita</t>
  </si>
  <si>
    <t>Lucro Bruto</t>
  </si>
  <si>
    <t>SG &amp; A</t>
  </si>
  <si>
    <t>Depreciação e Amortização</t>
  </si>
  <si>
    <t>Outras receitas/(despesas)</t>
  </si>
  <si>
    <t>IR</t>
  </si>
  <si>
    <t>Margem Líquida</t>
  </si>
  <si>
    <t>Demonstrativo de Fluxo de Caixa</t>
  </si>
  <si>
    <t>Atividades Operacionais</t>
  </si>
  <si>
    <t>Atividades de Investimento</t>
  </si>
  <si>
    <t>Atividades Financeiras</t>
  </si>
  <si>
    <t>Lucro Líquido</t>
  </si>
  <si>
    <t>Variação Capital de Giro</t>
  </si>
  <si>
    <t>Fluxo de caixa de Investimento</t>
  </si>
  <si>
    <t>Dividendos Pagos</t>
  </si>
  <si>
    <t>Fluxo de Caixa de Financiamento</t>
  </si>
  <si>
    <t>Balanço Patrimonial</t>
  </si>
  <si>
    <t>Caixa</t>
  </si>
  <si>
    <t>Contas a Receber</t>
  </si>
  <si>
    <t>Imobilizado</t>
  </si>
  <si>
    <t>Ativo</t>
  </si>
  <si>
    <t>Total de Ativos</t>
  </si>
  <si>
    <t>Passivo e Patrimônio Líquido</t>
  </si>
  <si>
    <t>Fornecedores</t>
  </si>
  <si>
    <t>Dívidas</t>
  </si>
  <si>
    <t>Total Passivo e Patrimônio Líquido</t>
  </si>
  <si>
    <t>EBT - Lucro Antes dos Impostos</t>
  </si>
  <si>
    <t>AMBEV</t>
  </si>
  <si>
    <t>Estoques</t>
  </si>
  <si>
    <t>NCG - Necessidade de Capital de Giro</t>
  </si>
  <si>
    <t>Variação NCG</t>
  </si>
  <si>
    <t>Imobilizado Final</t>
  </si>
  <si>
    <t>+</t>
  </si>
  <si>
    <t>Capex</t>
  </si>
  <si>
    <t>Endividamento</t>
  </si>
  <si>
    <t>Posição Inicial do Imobilizado</t>
  </si>
  <si>
    <t>Posição Inicial da Dívida</t>
  </si>
  <si>
    <t>Posição Final da Dívida</t>
  </si>
  <si>
    <t>check</t>
  </si>
  <si>
    <t>Capital de Giro</t>
  </si>
  <si>
    <t>Cronogramas</t>
  </si>
  <si>
    <t>Total Passivo</t>
  </si>
  <si>
    <t>Total Patrimônio Líquido</t>
  </si>
  <si>
    <t>Dividend Payout</t>
  </si>
  <si>
    <t>[Dividendo / LL]</t>
  </si>
  <si>
    <t>Modelagem Financeira</t>
  </si>
  <si>
    <t>Valuation - DCF</t>
  </si>
  <si>
    <t>Indicadores de Eficiência</t>
  </si>
  <si>
    <t>Indicadores de Endividamento</t>
  </si>
  <si>
    <t>Divida Líquida / EBITDA</t>
  </si>
  <si>
    <t>Indicadores de Rentabilidade</t>
  </si>
  <si>
    <t>Giro do Ativo</t>
  </si>
  <si>
    <t>Alavancagem</t>
  </si>
  <si>
    <t>Giro do Imobilizado</t>
  </si>
  <si>
    <t>ROA - Retorno sobre o Ativo</t>
  </si>
  <si>
    <t>ROE - Retorno sobre o Patrimônio Líquido</t>
  </si>
  <si>
    <t xml:space="preserve">Outros </t>
  </si>
  <si>
    <t>Margem Operacional (EBIT)</t>
  </si>
  <si>
    <t>Dívida Líquida</t>
  </si>
  <si>
    <t>Dívida Bruta / Patrimônio Líquido (D/E)</t>
  </si>
  <si>
    <t>D - Total Dívida Bruta</t>
  </si>
  <si>
    <t>E - Total Patrimônio Líquido</t>
  </si>
  <si>
    <t>Múltiplo EV/EBITDA</t>
  </si>
  <si>
    <t>Data do Valuation</t>
  </si>
  <si>
    <t>Preço Atual da Ação</t>
  </si>
  <si>
    <t>Quantidade de ações negociadas [MM]</t>
  </si>
  <si>
    <t>Aumento(Redução) no Caixa</t>
  </si>
  <si>
    <t>Caixa no início do período</t>
  </si>
  <si>
    <t>Caixa no final do período</t>
  </si>
  <si>
    <t>Dados atuais</t>
  </si>
  <si>
    <t>C - Capital Total</t>
  </si>
  <si>
    <t>Custo de capital próprio (Ke)</t>
  </si>
  <si>
    <t>Prêmio de risco</t>
  </si>
  <si>
    <t>Alíquota de imposto</t>
  </si>
  <si>
    <t>Custo de Terceiros depois do IR</t>
  </si>
  <si>
    <t>Custo médio Ponderado - WACC</t>
  </si>
  <si>
    <r>
      <rPr>
        <b/>
        <sz val="10"/>
        <rFont val="Arial"/>
        <family val="2"/>
      </rPr>
      <t>g</t>
    </r>
    <r>
      <rPr>
        <sz val="10"/>
        <rFont val="Arial"/>
        <family val="2"/>
      </rPr>
      <t xml:space="preserve"> - Crescimento na perpetuidade</t>
    </r>
  </si>
  <si>
    <r>
      <rPr>
        <b/>
        <sz val="10"/>
        <rFont val="Arial"/>
        <family val="2"/>
      </rPr>
      <t>r</t>
    </r>
    <r>
      <rPr>
        <sz val="10"/>
        <rFont val="Arial"/>
        <family val="2"/>
      </rPr>
      <t xml:space="preserve"> - Taxa de Desconto </t>
    </r>
    <r>
      <rPr>
        <sz val="8"/>
        <rFont val="Arial"/>
        <family val="2"/>
      </rPr>
      <t>(WACC)</t>
    </r>
  </si>
  <si>
    <t>EV - Valor da Firma</t>
  </si>
  <si>
    <t>Valor de Mercado</t>
  </si>
  <si>
    <t>+Dívida Bruta</t>
  </si>
  <si>
    <t>+Participação de não controladores</t>
  </si>
  <si>
    <t>-Caixa</t>
  </si>
  <si>
    <t>Mútiplo EV/EBITDA</t>
  </si>
  <si>
    <t>Upside</t>
  </si>
  <si>
    <t>- Imposto Caixa</t>
  </si>
  <si>
    <t>NOPAT</t>
  </si>
  <si>
    <t>+ Deprec &amp; Amort</t>
  </si>
  <si>
    <t>EBIDA</t>
  </si>
  <si>
    <t>- Capex</t>
  </si>
  <si>
    <t>- Var Necessidade Capital de Giro</t>
  </si>
  <si>
    <t>FCFF</t>
  </si>
  <si>
    <t>Fluxo de Caixa Livre da Firma</t>
  </si>
  <si>
    <t>Taxa interna de retorno</t>
  </si>
  <si>
    <t>Valor terminal</t>
  </si>
  <si>
    <t>Valor terminal médio</t>
  </si>
  <si>
    <t>Valuation</t>
  </si>
  <si>
    <r>
      <t xml:space="preserve">DCF </t>
    </r>
    <r>
      <rPr>
        <b/>
        <sz val="8"/>
        <rFont val="Arial"/>
        <family val="2"/>
      </rPr>
      <t>(Gordon)</t>
    </r>
  </si>
  <si>
    <t>Custo médio Ponderado de Capital</t>
  </si>
  <si>
    <t>Data</t>
  </si>
  <si>
    <r>
      <t xml:space="preserve">Taxa de desconto </t>
    </r>
    <r>
      <rPr>
        <sz val="8"/>
        <rFont val="Arial"/>
        <family val="2"/>
      </rPr>
      <t>(WACC)</t>
    </r>
  </si>
  <si>
    <t>Valor Presente - EV</t>
  </si>
  <si>
    <t>+Caixa</t>
  </si>
  <si>
    <t>-Dívida</t>
  </si>
  <si>
    <t>-Participação não controladores</t>
  </si>
  <si>
    <t>Valor De Mercado</t>
  </si>
  <si>
    <t>Preço alvo</t>
  </si>
  <si>
    <t>Retorno</t>
  </si>
  <si>
    <t>qtde de ações em circulação</t>
  </si>
  <si>
    <t>Preço atual</t>
  </si>
  <si>
    <t>Fluxo por ação</t>
  </si>
  <si>
    <t>Fluxo de caixa</t>
  </si>
  <si>
    <t>Análise de sensibilidade (r * g)</t>
  </si>
  <si>
    <t>sensibilidade (r*g)</t>
  </si>
  <si>
    <t>sensibilidade IR</t>
  </si>
  <si>
    <t>preço alvo</t>
  </si>
  <si>
    <t>CADA</t>
  </si>
  <si>
    <t>[ CADA * D&amp;A]</t>
  </si>
  <si>
    <t>[ CAPEX / D&amp;A]</t>
  </si>
  <si>
    <t>CENÁRIO:</t>
  </si>
  <si>
    <t>Preço Alvo</t>
  </si>
  <si>
    <t>(MM)</t>
  </si>
  <si>
    <t>(%)</t>
  </si>
  <si>
    <t>Projeção de Resultados</t>
  </si>
  <si>
    <t>Receita Líquida</t>
  </si>
  <si>
    <t>Crescimento</t>
  </si>
  <si>
    <t>Margem</t>
  </si>
  <si>
    <t>RESULTADOS - CENÁRIO BASE</t>
  </si>
  <si>
    <t>RESULTADOS - CENÁRIO CONSERVADOR</t>
  </si>
  <si>
    <t>RESULTADOS - CENÁRIO OTIMISTA</t>
  </si>
  <si>
    <t>Tendência</t>
  </si>
  <si>
    <t>Sumário</t>
  </si>
  <si>
    <t>Valuation - Fluxo de Caixa Descontado, Preço Alvo e Sensibilidades</t>
  </si>
  <si>
    <t>Valuation - Taxa de Desconto e Valores Terminais</t>
  </si>
  <si>
    <t>BALANÇO PATRIMONIAL CONSOLIDADO</t>
  </si>
  <si>
    <t>R$ milhões</t>
  </si>
  <si>
    <t>31 de dezembro de 2020</t>
  </si>
  <si>
    <t>31 de dezembro de 2021</t>
  </si>
  <si>
    <t>31 de Dezembro de 2022</t>
  </si>
  <si>
    <t>31 de Dezembro de 2023</t>
  </si>
  <si>
    <t>Ativo circulante</t>
  </si>
  <si>
    <t>Caixa e equivalentes de caixa</t>
  </si>
  <si>
    <t>Aplicações financeiras</t>
  </si>
  <si>
    <t xml:space="preserve">Instrumentos financeiros derivativos </t>
  </si>
  <si>
    <t>Instrumentos financeiros derivativos</t>
  </si>
  <si>
    <t>Contas a receber</t>
  </si>
  <si>
    <t>Imposto de renda e contribuição social a recuperar</t>
  </si>
  <si>
    <t>Impostos a recuperar</t>
  </si>
  <si>
    <t>Tributos a recuperar</t>
  </si>
  <si>
    <t>Outros ativos</t>
  </si>
  <si>
    <t>Total</t>
  </si>
  <si>
    <t>Ativo não circulante</t>
  </si>
  <si>
    <t xml:space="preserve">Imposto de renda e contribuição social a recuperar </t>
  </si>
  <si>
    <t>Imposto de renda e contribuição social diferidos</t>
  </si>
  <si>
    <t>Tributos indiretos a recuperar (i)</t>
  </si>
  <si>
    <t xml:space="preserve">Outros ativos </t>
  </si>
  <si>
    <t>Benefícios a funcionários</t>
  </si>
  <si>
    <t>Investimentos</t>
  </si>
  <si>
    <t>Realizável a longo prazo</t>
  </si>
  <si>
    <t>Intangível</t>
  </si>
  <si>
    <t>Ágio</t>
  </si>
  <si>
    <t>Total do ativo</t>
  </si>
  <si>
    <t>Patrimônio líquido e passivo</t>
  </si>
  <si>
    <t>Passivo circulante</t>
  </si>
  <si>
    <t>Contas a pagar</t>
  </si>
  <si>
    <t>Passivo e patrimônio líquido</t>
  </si>
  <si>
    <t>Empréstimos e financiamentos</t>
  </si>
  <si>
    <t>Salários e encargos</t>
  </si>
  <si>
    <t>Dividendos e juros sobre o capital próprio a pagar</t>
  </si>
  <si>
    <t>Imposto de renda e contribuição social a recolher</t>
  </si>
  <si>
    <t>Conta garantida</t>
  </si>
  <si>
    <t>Impostos, taxas e contribuições a recolher</t>
  </si>
  <si>
    <t>Outros passivos</t>
  </si>
  <si>
    <t>Provisões</t>
  </si>
  <si>
    <t>Opção de venda concedida sobre participação em controlada e outros passivos</t>
  </si>
  <si>
    <t>Passivo não circulante</t>
  </si>
  <si>
    <t>Total do passivo</t>
  </si>
  <si>
    <t>Patrimônio líquido</t>
  </si>
  <si>
    <t>Capital social</t>
  </si>
  <si>
    <t>Reservas</t>
  </si>
  <si>
    <t>Ajuste de avaliação patrimonial</t>
  </si>
  <si>
    <t>Lucros/ (Prejuízos) acumulados</t>
  </si>
  <si>
    <t>Patrimônio líquido de controladores</t>
  </si>
  <si>
    <t>Participação de não controladores</t>
  </si>
  <si>
    <t>Total do patrimônio líquido</t>
  </si>
  <si>
    <t>Total do passivo e patrimônio líquido</t>
  </si>
  <si>
    <t>DEMONSTRAÇÃO DE RESULTADOS CONSOLIDADOS</t>
  </si>
  <si>
    <t>12M20</t>
  </si>
  <si>
    <t>12M21</t>
  </si>
  <si>
    <t>12M22</t>
  </si>
  <si>
    <t>12M23</t>
  </si>
  <si>
    <t>Receita líquida</t>
  </si>
  <si>
    <t>Custo dos produtos vendidos</t>
  </si>
  <si>
    <t>Lucro bruto</t>
  </si>
  <si>
    <t>Despesas logísticas</t>
  </si>
  <si>
    <t>Despesas comerciais</t>
  </si>
  <si>
    <t>Despesas administrativas</t>
  </si>
  <si>
    <t>Outras receitas/(despesas) operacionais</t>
  </si>
  <si>
    <t>Lucro operacional ajustado</t>
  </si>
  <si>
    <t>Itens não usuais</t>
  </si>
  <si>
    <t>Lucro operacional</t>
  </si>
  <si>
    <t>Resultado financeiro líquido</t>
  </si>
  <si>
    <t>Participação nos resultados de empreendimentos controlados em conjunto</t>
  </si>
  <si>
    <t>Lucro antes do imposto de renda e contribuição social</t>
  </si>
  <si>
    <t>Despesa com imposto de renda e contribuição social</t>
  </si>
  <si>
    <t>Lucro líquido do período</t>
  </si>
  <si>
    <t>Participação dos controladores</t>
  </si>
  <si>
    <t>Participação dos não controladores</t>
  </si>
  <si>
    <t>Lucro por ação básico (R$)</t>
  </si>
  <si>
    <t>Lucro por ação diluído (R$)</t>
  </si>
  <si>
    <t>Lucro líquido ajustado do período</t>
  </si>
  <si>
    <t>Lucro por ação básico ajustado (R$)</t>
  </si>
  <si>
    <t>Lucro por ação diluído ajustado (R$)</t>
  </si>
  <si>
    <t>nº de ações em circulação - básico (em milhões de ações)</t>
  </si>
  <si>
    <t>nº de ações em circulação - diluído (em milhões de ações)</t>
  </si>
  <si>
    <t>DEMONSTRAÇÃO DE FLUXO DE CAIXA CONSOLIDADO</t>
  </si>
  <si>
    <t>Depreciação, amortização e impairment</t>
  </si>
  <si>
    <t>Perda por impairment nas contas a receber, nos estoques e nas demais contas a receber</t>
  </si>
  <si>
    <t>Impairment nas contas a receber, nos estoques e nas demais contas a receber</t>
  </si>
  <si>
    <t>Aumento/(redução) nas provisões e benefícios a funcionários</t>
  </si>
  <si>
    <t>Perda/(ganho) na venda de imobilizado e intangíveis</t>
  </si>
  <si>
    <t>Despesa com pagamentos baseados em ações</t>
  </si>
  <si>
    <t>Perda/(ganho) na venda de operações em subsidiárias</t>
  </si>
  <si>
    <t>Imposto de renda e contribuição social</t>
  </si>
  <si>
    <t>Perda/(ganho) na venda de operações em associadas</t>
  </si>
  <si>
    <t>Participação nos resultados de controladas, coligadas e empreendimentos controlados em conjunto</t>
  </si>
  <si>
    <t>Ganho em permuta de participações societárias</t>
  </si>
  <si>
    <t>Outros itens que não afetam o caixa incluídos no lucro</t>
  </si>
  <si>
    <t>Fluxo de caixa das atividades operacionais antes do capital de giro e provisões</t>
  </si>
  <si>
    <t>(Aumento)/redução no contas a receber e demais contas a receber</t>
  </si>
  <si>
    <t>(Aumento)/redução nos estoques</t>
  </si>
  <si>
    <t>Resultados das operações de hedge</t>
  </si>
  <si>
    <t>Aumento/(redução) no contas a pagar e demais contas a pagar</t>
  </si>
  <si>
    <t>Geração de caixa das atividades operacionais</t>
  </si>
  <si>
    <t>Juros pagos</t>
  </si>
  <si>
    <t>Juros recebidos</t>
  </si>
  <si>
    <t>Dividendos recebidos</t>
  </si>
  <si>
    <t>Imposto de renda e contribuição social (pagos)/creditados</t>
  </si>
  <si>
    <t>Fluxo de caixa das atividades operacionais</t>
  </si>
  <si>
    <t>Proventos da venda de imobilizado e intangíveis</t>
  </si>
  <si>
    <t>Proventos da venda de operações em subsidiárias</t>
  </si>
  <si>
    <t>Aquisição de imobilizado e intangíveis</t>
  </si>
  <si>
    <t>Aquisição de subsidiárias, líquido de caixa adquirido</t>
  </si>
  <si>
    <t>Aquisição de outros investimentos</t>
  </si>
  <si>
    <t>(Aplicação financeira)/proventos líquidos de títulos de dívida</t>
  </si>
  <si>
    <t>Proventos/(aquisição) de outros ativos, líquidos</t>
  </si>
  <si>
    <t>Fluxo de caixa das atividades de investimento</t>
  </si>
  <si>
    <t>Aumento de capital</t>
  </si>
  <si>
    <t>Aumento/(redução) de capital em não controladores</t>
  </si>
  <si>
    <t>Proventos/(recompra) de ações</t>
  </si>
  <si>
    <t>Proventos de empréstimos</t>
  </si>
  <si>
    <t>Liquidação de empréstimos</t>
  </si>
  <si>
    <t>Caixa líquido de custos financeiros, exceto juros</t>
  </si>
  <si>
    <t>Pagamento de passivos de arrendamento</t>
  </si>
  <si>
    <t>Dividendos e juros sobre o capital próprio pagos</t>
  </si>
  <si>
    <t>Aquisição de participação de não controladores</t>
  </si>
  <si>
    <t>Fluxo de caixa de atividades de financiamento</t>
  </si>
  <si>
    <t>Aumento/(redução) líquido no Caixa e equivalentes de caixa</t>
  </si>
  <si>
    <t>Caixa e equivalentes de caixa no início do período</t>
  </si>
  <si>
    <t>Efeito de variação cambial em caixa e equivalente de caixa</t>
  </si>
  <si>
    <t>Caixa e equivalentes de caixa no final do período</t>
  </si>
  <si>
    <t>EBT</t>
  </si>
  <si>
    <t>LL</t>
  </si>
  <si>
    <t>F</t>
  </si>
  <si>
    <t>D</t>
  </si>
  <si>
    <t>Pré longa</t>
  </si>
  <si>
    <t>Custo da Dívida</t>
  </si>
  <si>
    <t>BASE</t>
  </si>
  <si>
    <t>CENÁRIOS</t>
  </si>
  <si>
    <t>OTIMISTA</t>
  </si>
  <si>
    <t>REVERSO</t>
  </si>
  <si>
    <t>CONSERVADOR</t>
  </si>
  <si>
    <t>Cenários</t>
  </si>
  <si>
    <t>upside</t>
  </si>
  <si>
    <t>cenário</t>
  </si>
  <si>
    <t>Selecionar:</t>
  </si>
  <si>
    <t>Market Cap</t>
  </si>
  <si>
    <t xml:space="preserve"> Valor de Mercado: 206.413     Preço Alvo: R$ 13,10     Upside: 4,13%     Taxa Interna de Retorno: 16,07%</t>
  </si>
  <si>
    <t xml:space="preserve"> Valor de Mercado: 297.539     Preço Alvo: R$ 18,88     Upside: 50,10%     Taxa Interna de Retorno: 29,11%</t>
  </si>
  <si>
    <t xml:space="preserve"> Valor de Mercado: 146.839     Preço Alvo: R$ 9,32     Upside: -25,93%     Taxa Interna de Retorno: 5,09%</t>
  </si>
  <si>
    <t>[(github.com) marquettilucas/Portfolio]</t>
  </si>
  <si>
    <t>#016 - AMBEV - Modelagem e 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</si>
</sst>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7" formatCode="&quot;R$&quot;\ #,##0.00_);\(&quot;R$&quot;\ #,##0.00\)"/>
    <numFmt numFmtId="44" formatCode="_(&quot;R$&quot;\ * #,##0.00_);_(&quot;R$&quot;\ * \(#,##0.00\);_(&quot;R$&quot;\ * &quot;-&quot;??_);_(@_)"/>
    <numFmt numFmtId="43" formatCode="_(* #,##0.00_);_(* \(#,##0.00\);_(* &quot;-&quot;??_);_(@_)"/>
    <numFmt numFmtId="164" formatCode="&quot;$&quot;#,##0_);\(&quot;$&quot;#,##0\)"/>
    <numFmt numFmtId="165" formatCode="&quot;$&quot;#,##0_);[Red]\(&quot;$&quot;#,##0\)"/>
    <numFmt numFmtId="166" formatCode="&quot;$&quot;#,##0.00_);[Red]\(&quot;$&quot;#,##0.00\)"/>
    <numFmt numFmtId="167" formatCode="_(* #,##0.0_);_(* \(#,##0.0\);_(* &quot;-&quot;??_);_(@_)"/>
    <numFmt numFmtId="168" formatCode="_(* #,##0_);_(* \(#,##0\);_(* &quot;-&quot;??_);_(@_)"/>
    <numFmt numFmtId="169" formatCode="0.0%"/>
    <numFmt numFmtId="170" formatCode="#,##0.0_);\(#,##0.0\)"/>
    <numFmt numFmtId="171" formatCode="&quot;$&quot;#,##0.0_);\(&quot;$&quot;#,##0.0\)"/>
    <numFmt numFmtId="172" formatCode="#,##0.000_);\(#,##0.000\)"/>
    <numFmt numFmtId="173" formatCode="0\A"/>
    <numFmt numFmtId="174" formatCode="_-* #,##0_-;\-* #,##0_-;_-* &quot;-&quot;??_-;_-@_-"/>
    <numFmt numFmtId="175" formatCode="mmmm\ d\,\ yyyy"/>
    <numFmt numFmtId="176" formatCode="0.0%;\(0.0%\)"/>
    <numFmt numFmtId="177" formatCode="_-* #,##0.00_-;\-* #,##0.00_-;_-* &quot;-&quot;??_-;_-@_-"/>
    <numFmt numFmtId="178" formatCode="0.00%;\(0.00%\)"/>
    <numFmt numFmtId="179" formatCode="0.00\x_-"/>
    <numFmt numFmtId="180" formatCode="dd/mm/yyyy_-;@"/>
    <numFmt numFmtId="181" formatCode="ddd"/>
    <numFmt numFmtId="182" formatCode="0.0\x_-"/>
    <numFmt numFmtId="183" formatCode="_([$R$-416]\ * #,##0.00_);_([$R$-416]\ * \(#,##0.00\);_([$R$-416]\ * &quot;-&quot;??_);_(@_)"/>
    <numFmt numFmtId="184" formatCode="_(&quot;R$&quot;\ * #,##0_);_(&quot;R$&quot;\ * \(#,##0\);_(&quot;R$&quot;\ * &quot;-&quot;??_);_(@_)"/>
    <numFmt numFmtId="185" formatCode="_(#,##0.0_);_(\(#,##0.0\);_(&quot;-&quot;??_);_(@_)"/>
    <numFmt numFmtId="186" formatCode="#,##0.0"/>
    <numFmt numFmtId="187" formatCode="0.000"/>
    <numFmt numFmtId="188" formatCode="_-* #,##0.0_-;\-* #,##0.0_-;_-* &quot;-&quot;?_-;_-@_-"/>
    <numFmt numFmtId="189" formatCode="_(* #,##0.0_);_(* \(#,##0.0\);_(* &quot;-&quot;?_);_(@_)"/>
    <numFmt numFmtId="190" formatCode="#,##0.0000_);\(#,##0.0000\)"/>
  </numFmts>
  <fonts count="71">
    <font>
      <sz val="10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Book Antiqua"/>
      <family val="1"/>
    </font>
    <font>
      <sz val="10"/>
      <name val="Aldine401 BT"/>
    </font>
    <font>
      <sz val="10"/>
      <name val="Arial"/>
      <family val="2"/>
    </font>
    <font>
      <sz val="11"/>
      <color indexed="12"/>
      <name val="Book Antiqua"/>
      <family val="1"/>
    </font>
    <font>
      <sz val="8"/>
      <name val="Arial"/>
      <family val="2"/>
    </font>
    <font>
      <sz val="10"/>
      <name val="Times New Roman"/>
      <family val="1"/>
    </font>
    <font>
      <sz val="12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24"/>
      <color theme="1"/>
      <name val="Arial"/>
      <family val="2"/>
    </font>
    <font>
      <sz val="18"/>
      <color theme="1"/>
      <name val="Arial"/>
      <family val="2"/>
    </font>
    <font>
      <b/>
      <sz val="24"/>
      <color theme="4"/>
      <name val="Arial"/>
      <family val="2"/>
    </font>
    <font>
      <sz val="14"/>
      <name val="Arial"/>
      <family val="2"/>
    </font>
    <font>
      <b/>
      <sz val="12"/>
      <color theme="4"/>
      <name val="Arial"/>
      <family val="2"/>
    </font>
    <font>
      <sz val="16"/>
      <color theme="1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i/>
      <sz val="14"/>
      <color indexed="10"/>
      <name val="Arial"/>
      <family val="2"/>
    </font>
    <font>
      <b/>
      <i/>
      <sz val="9"/>
      <color indexed="10"/>
      <name val="Arial"/>
      <family val="2"/>
    </font>
    <font>
      <b/>
      <i/>
      <sz val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b/>
      <sz val="10"/>
      <color indexed="10"/>
      <name val="Arial"/>
      <family val="2"/>
    </font>
    <font>
      <sz val="10"/>
      <color rgb="FF009B73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u/>
      <sz val="12"/>
      <color theme="1"/>
      <name val="Arial"/>
      <family val="2"/>
    </font>
    <font>
      <u/>
      <sz val="10"/>
      <color theme="10"/>
      <name val="Arial"/>
      <family val="2"/>
    </font>
    <font>
      <u/>
      <sz val="14"/>
      <color theme="10"/>
      <name val="Arial"/>
      <family val="2"/>
    </font>
    <font>
      <i/>
      <sz val="10"/>
      <color rgb="FF0000FF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8"/>
      <name val="Arial"/>
      <family val="2"/>
    </font>
    <font>
      <b/>
      <sz val="36"/>
      <color rgb="FF0000FF"/>
      <name val="Arial"/>
      <family val="2"/>
    </font>
    <font>
      <sz val="9"/>
      <color rgb="FF0000FF"/>
      <name val="Arial"/>
      <family val="2"/>
    </font>
    <font>
      <b/>
      <sz val="20"/>
      <color indexed="12"/>
      <name val="Arial"/>
      <family val="2"/>
    </font>
    <font>
      <b/>
      <sz val="20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8"/>
      <color rgb="FF008ED6"/>
      <name val="Arial"/>
      <family val="2"/>
    </font>
    <font>
      <sz val="10"/>
      <color rgb="FF002F6C"/>
      <name val="Arial"/>
      <family val="2"/>
    </font>
    <font>
      <i/>
      <sz val="9"/>
      <name val="Arial"/>
      <family val="2"/>
    </font>
    <font>
      <i/>
      <sz val="9"/>
      <color rgb="FF002F6C"/>
      <name val="Arial"/>
      <family val="2"/>
    </font>
    <font>
      <sz val="10"/>
      <color rgb="FF4586BB"/>
      <name val="Arial"/>
      <family val="2"/>
    </font>
    <font>
      <u/>
      <sz val="10"/>
      <color rgb="FF0000FF"/>
      <name val="Arial"/>
      <family val="2"/>
    </font>
    <font>
      <sz val="10"/>
      <color theme="1"/>
      <name val="Arial"/>
      <family val="2"/>
    </font>
    <font>
      <sz val="7"/>
      <name val="Arial"/>
      <family val="2"/>
    </font>
    <font>
      <b/>
      <sz val="8"/>
      <name val="Arial Narrow"/>
      <family val="2"/>
    </font>
    <font>
      <b/>
      <sz val="10.5"/>
      <name val="Arial"/>
      <family val="2"/>
    </font>
    <font>
      <i/>
      <sz val="7"/>
      <name val="Arial"/>
      <family val="2"/>
    </font>
    <font>
      <b/>
      <sz val="7"/>
      <name val="Arial"/>
      <family val="2"/>
    </font>
    <font>
      <i/>
      <sz val="6"/>
      <name val="Arial"/>
      <family val="2"/>
    </font>
    <font>
      <sz val="6"/>
      <color theme="0"/>
      <name val="Arial"/>
      <family val="2"/>
    </font>
    <font>
      <b/>
      <sz val="10"/>
      <color theme="1"/>
      <name val="Arial"/>
      <family val="2"/>
    </font>
    <font>
      <b/>
      <sz val="6"/>
      <name val="Arial"/>
      <family val="2"/>
    </font>
    <font>
      <b/>
      <sz val="7"/>
      <color theme="0"/>
      <name val="Arial"/>
      <family val="2"/>
    </font>
    <font>
      <sz val="6"/>
      <name val="Arial"/>
      <family val="2"/>
    </font>
    <font>
      <b/>
      <i/>
      <sz val="9"/>
      <name val="Arial"/>
      <family val="2"/>
    </font>
    <font>
      <b/>
      <sz val="10"/>
      <color rgb="FF009B73"/>
      <name val="Arial"/>
      <family val="2"/>
    </font>
    <font>
      <i/>
      <sz val="9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2F6C"/>
      </left>
      <right/>
      <top style="thin">
        <color rgb="FF002F6C"/>
      </top>
      <bottom/>
      <diagonal/>
    </border>
    <border>
      <left/>
      <right/>
      <top style="thin">
        <color rgb="FF002F6C"/>
      </top>
      <bottom/>
      <diagonal/>
    </border>
    <border>
      <left/>
      <right/>
      <top style="thin">
        <color rgb="FF002F6C"/>
      </top>
      <bottom style="thin">
        <color theme="0"/>
      </bottom>
      <diagonal/>
    </border>
    <border>
      <left/>
      <right style="thin">
        <color rgb="FF002F6C"/>
      </right>
      <top style="thin">
        <color rgb="FF002F6C"/>
      </top>
      <bottom/>
      <diagonal/>
    </border>
    <border>
      <left style="thin">
        <color rgb="FF002F6C"/>
      </left>
      <right/>
      <top/>
      <bottom/>
      <diagonal/>
    </border>
    <border>
      <left/>
      <right style="thin">
        <color rgb="FF002F6C"/>
      </right>
      <top/>
      <bottom/>
      <diagonal/>
    </border>
    <border>
      <left/>
      <right/>
      <top/>
      <bottom style="dotted">
        <color rgb="FF009966"/>
      </bottom>
      <diagonal/>
    </border>
    <border>
      <left style="thin">
        <color rgb="FF002F6C"/>
      </left>
      <right/>
      <top/>
      <bottom style="thin">
        <color rgb="FF002F6C"/>
      </bottom>
      <diagonal/>
    </border>
    <border>
      <left/>
      <right/>
      <top/>
      <bottom style="thin">
        <color rgb="FF002F6C"/>
      </bottom>
      <diagonal/>
    </border>
    <border>
      <left/>
      <right style="thin">
        <color rgb="FF002F6C"/>
      </right>
      <top/>
      <bottom style="thin">
        <color rgb="FF002F6C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rgb="FFBA0C2F"/>
      </bottom>
      <diagonal/>
    </border>
    <border>
      <left style="thin">
        <color theme="0"/>
      </left>
      <right/>
      <top/>
      <bottom style="thin">
        <color rgb="FFBA0C2F"/>
      </bottom>
      <diagonal/>
    </border>
    <border>
      <left/>
      <right/>
      <top/>
      <bottom style="double">
        <color rgb="FFBA0C2F"/>
      </bottom>
      <diagonal/>
    </border>
    <border>
      <left/>
      <right/>
      <top/>
      <bottom style="dotted">
        <color rgb="FFBA0C2F"/>
      </bottom>
      <diagonal/>
    </border>
    <border>
      <left/>
      <right/>
      <top style="double">
        <color rgb="FFBA0C2F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22">
    <xf numFmtId="0" fontId="0" fillId="0" borderId="0"/>
    <xf numFmtId="0" fontId="4" fillId="0" borderId="0" applyNumberFormat="0" applyFont="0" applyFill="0" applyBorder="0" applyProtection="0">
      <alignment horizontal="centerContinuous"/>
    </xf>
    <xf numFmtId="0" fontId="4" fillId="0" borderId="1" applyNumberFormat="0" applyFont="0" applyFill="0" applyAlignment="0" applyProtection="0"/>
    <xf numFmtId="0" fontId="4" fillId="0" borderId="0" applyNumberFormat="0" applyFont="0" applyFill="0" applyBorder="0" applyProtection="0">
      <alignment horizontal="center"/>
    </xf>
    <xf numFmtId="43" fontId="5" fillId="0" borderId="0" applyFont="0" applyFill="0" applyBorder="0" applyAlignment="0" applyProtection="0"/>
    <xf numFmtId="166" fontId="7" fillId="0" borderId="2">
      <protection locked="0"/>
    </xf>
    <xf numFmtId="0" fontId="4" fillId="0" borderId="3" applyNumberFormat="0" applyFont="0" applyFill="0" applyAlignment="0" applyProtection="0"/>
    <xf numFmtId="0" fontId="6" fillId="0" borderId="0"/>
    <xf numFmtId="0" fontId="9" fillId="0" borderId="0"/>
    <xf numFmtId="0" fontId="8" fillId="0" borderId="0" applyNumberFormat="0" applyFill="0" applyBorder="0" applyAlignment="0" applyProtection="0"/>
    <xf numFmtId="174" fontId="5" fillId="0" borderId="0" applyNumberFormat="0" applyFill="0" applyBorder="0" applyAlignment="0" applyProtection="0"/>
    <xf numFmtId="0" fontId="4" fillId="0" borderId="4" applyNumberFormat="0" applyFont="0" applyFill="0" applyAlignment="0" applyProtection="0"/>
    <xf numFmtId="0" fontId="10" fillId="0" borderId="0"/>
    <xf numFmtId="9" fontId="6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0" fontId="1" fillId="0" borderId="0"/>
    <xf numFmtId="17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8">
    <xf numFmtId="0" fontId="0" fillId="0" borderId="0" xfId="0"/>
    <xf numFmtId="0" fontId="18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8" xfId="0" applyBorder="1"/>
    <xf numFmtId="0" fontId="0" fillId="0" borderId="5" xfId="0" applyBorder="1"/>
    <xf numFmtId="10" fontId="0" fillId="0" borderId="0" xfId="0" applyNumberFormat="1"/>
    <xf numFmtId="0" fontId="0" fillId="0" borderId="0" xfId="0" quotePrefix="1" applyAlignment="1">
      <alignment horizontal="left"/>
    </xf>
    <xf numFmtId="0" fontId="0" fillId="0" borderId="1" xfId="0" applyBorder="1"/>
    <xf numFmtId="0" fontId="0" fillId="0" borderId="10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21" fillId="0" borderId="0" xfId="0" applyFont="1"/>
    <xf numFmtId="0" fontId="0" fillId="0" borderId="0" xfId="0" quotePrefix="1"/>
    <xf numFmtId="0" fontId="0" fillId="0" borderId="7" xfId="0" applyBorder="1"/>
    <xf numFmtId="0" fontId="6" fillId="0" borderId="0" xfId="8" applyFont="1"/>
    <xf numFmtId="0" fontId="6" fillId="0" borderId="15" xfId="8" applyFont="1" applyBorder="1"/>
    <xf numFmtId="0" fontId="24" fillId="0" borderId="0" xfId="0" applyFont="1" applyAlignment="1">
      <alignment horizontal="centerContinuous"/>
    </xf>
    <xf numFmtId="0" fontId="22" fillId="0" borderId="0" xfId="0" applyFont="1" applyAlignment="1">
      <alignment horizontal="centerContinuous"/>
    </xf>
    <xf numFmtId="0" fontId="26" fillId="0" borderId="0" xfId="0" applyFont="1" applyAlignment="1">
      <alignment horizontal="centerContinuous"/>
    </xf>
    <xf numFmtId="0" fontId="27" fillId="0" borderId="0" xfId="0" applyFont="1" applyAlignment="1">
      <alignment horizontal="centerContinuous"/>
    </xf>
    <xf numFmtId="0" fontId="24" fillId="0" borderId="0" xfId="0" applyFont="1"/>
    <xf numFmtId="0" fontId="19" fillId="0" borderId="0" xfId="0" applyFont="1" applyAlignment="1">
      <alignment horizontal="centerContinuous"/>
    </xf>
    <xf numFmtId="0" fontId="28" fillId="0" borderId="1" xfId="0" applyFont="1" applyBorder="1" applyAlignment="1">
      <alignment horizontal="centerContinuous"/>
    </xf>
    <xf numFmtId="0" fontId="19" fillId="0" borderId="0" xfId="0" quotePrefix="1" applyFont="1" applyAlignment="1">
      <alignment horizontal="left"/>
    </xf>
    <xf numFmtId="0" fontId="8" fillId="0" borderId="0" xfId="0" applyFont="1"/>
    <xf numFmtId="0" fontId="8" fillId="0" borderId="0" xfId="0" quotePrefix="1" applyFont="1" applyAlignment="1">
      <alignment horizontal="left"/>
    </xf>
    <xf numFmtId="0" fontId="19" fillId="0" borderId="0" xfId="0" applyFont="1" applyAlignment="1">
      <alignment horizontal="left"/>
    </xf>
    <xf numFmtId="0" fontId="0" fillId="0" borderId="15" xfId="0" applyBorder="1"/>
    <xf numFmtId="0" fontId="19" fillId="0" borderId="0" xfId="0" applyFont="1"/>
    <xf numFmtId="0" fontId="25" fillId="0" borderId="0" xfId="0" applyFont="1"/>
    <xf numFmtId="0" fontId="25" fillId="0" borderId="0" xfId="0" applyFont="1" applyAlignment="1">
      <alignment horizontal="right" vertical="center"/>
    </xf>
    <xf numFmtId="37" fontId="0" fillId="0" borderId="0" xfId="0" applyNumberFormat="1"/>
    <xf numFmtId="0" fontId="19" fillId="0" borderId="1" xfId="0" quotePrefix="1" applyFont="1" applyBorder="1" applyAlignment="1">
      <alignment horizontal="left"/>
    </xf>
    <xf numFmtId="0" fontId="19" fillId="0" borderId="1" xfId="0" applyFont="1" applyBorder="1"/>
    <xf numFmtId="0" fontId="23" fillId="0" borderId="0" xfId="0" quotePrefix="1" applyFont="1"/>
    <xf numFmtId="37" fontId="21" fillId="0" borderId="0" xfId="0" applyNumberFormat="1" applyFont="1"/>
    <xf numFmtId="37" fontId="20" fillId="0" borderId="0" xfId="0" applyNumberFormat="1" applyFont="1"/>
    <xf numFmtId="170" fontId="19" fillId="0" borderId="0" xfId="4" applyNumberFormat="1" applyFont="1" applyFill="1" applyBorder="1" applyProtection="1"/>
    <xf numFmtId="165" fontId="19" fillId="0" borderId="0" xfId="0" quotePrefix="1" applyNumberFormat="1" applyFont="1" applyAlignment="1">
      <alignment horizontal="left"/>
    </xf>
    <xf numFmtId="165" fontId="19" fillId="0" borderId="0" xfId="0" applyNumberFormat="1" applyFont="1" applyAlignment="1">
      <alignment horizontal="left"/>
    </xf>
    <xf numFmtId="171" fontId="19" fillId="0" borderId="0" xfId="0" applyNumberFormat="1" applyFont="1"/>
    <xf numFmtId="0" fontId="19" fillId="0" borderId="7" xfId="0" applyFont="1" applyBorder="1"/>
    <xf numFmtId="0" fontId="24" fillId="0" borderId="8" xfId="0" applyFont="1" applyBorder="1"/>
    <xf numFmtId="0" fontId="24" fillId="0" borderId="1" xfId="0" quotePrefix="1" applyFont="1" applyBorder="1"/>
    <xf numFmtId="37" fontId="0" fillId="0" borderId="0" xfId="4" applyNumberFormat="1" applyFont="1" applyFill="1" applyProtection="1"/>
    <xf numFmtId="168" fontId="0" fillId="0" borderId="0" xfId="4" applyNumberFormat="1" applyFont="1" applyFill="1" applyBorder="1" applyProtection="1"/>
    <xf numFmtId="37" fontId="20" fillId="0" borderId="0" xfId="4" applyNumberFormat="1" applyFont="1" applyFill="1" applyProtection="1"/>
    <xf numFmtId="0" fontId="0" fillId="0" borderId="10" xfId="0" applyBorder="1" applyAlignment="1">
      <alignment horizontal="left"/>
    </xf>
    <xf numFmtId="37" fontId="20" fillId="0" borderId="0" xfId="4" applyNumberFormat="1" applyFont="1" applyFill="1" applyBorder="1" applyProtection="1"/>
    <xf numFmtId="37" fontId="0" fillId="0" borderId="0" xfId="4" applyNumberFormat="1" applyFont="1" applyFill="1" applyBorder="1" applyProtection="1"/>
    <xf numFmtId="0" fontId="0" fillId="0" borderId="14" xfId="0" applyBorder="1"/>
    <xf numFmtId="173" fontId="19" fillId="0" borderId="0" xfId="0" quotePrefix="1" applyNumberFormat="1" applyFont="1" applyAlignment="1">
      <alignment horizontal="right"/>
    </xf>
    <xf numFmtId="0" fontId="22" fillId="0" borderId="12" xfId="0" applyFont="1" applyBorder="1" applyAlignment="1">
      <alignment horizontal="centerContinuous"/>
    </xf>
    <xf numFmtId="0" fontId="26" fillId="0" borderId="12" xfId="0" applyFont="1" applyBorder="1" applyAlignment="1">
      <alignment horizontal="centerContinuous"/>
    </xf>
    <xf numFmtId="0" fontId="27" fillId="0" borderId="12" xfId="0" applyFont="1" applyBorder="1" applyAlignment="1">
      <alignment horizontal="centerContinuous"/>
    </xf>
    <xf numFmtId="0" fontId="11" fillId="2" borderId="17" xfId="12" applyFont="1" applyFill="1" applyBorder="1" applyProtection="1">
      <protection locked="0"/>
    </xf>
    <xf numFmtId="0" fontId="11" fillId="2" borderId="0" xfId="12" applyFont="1" applyFill="1" applyProtection="1">
      <protection locked="0"/>
    </xf>
    <xf numFmtId="0" fontId="12" fillId="2" borderId="0" xfId="12" applyFont="1" applyFill="1" applyProtection="1">
      <protection locked="0"/>
    </xf>
    <xf numFmtId="0" fontId="17" fillId="2" borderId="0" xfId="12" applyFont="1" applyFill="1" applyProtection="1">
      <protection locked="0"/>
    </xf>
    <xf numFmtId="0" fontId="13" fillId="2" borderId="0" xfId="12" applyFont="1" applyFill="1" applyProtection="1">
      <protection locked="0"/>
    </xf>
    <xf numFmtId="0" fontId="35" fillId="2" borderId="0" xfId="12" applyFont="1" applyFill="1" applyProtection="1">
      <protection locked="0"/>
    </xf>
    <xf numFmtId="0" fontId="14" fillId="2" borderId="0" xfId="12" applyFont="1" applyFill="1" applyProtection="1">
      <protection locked="0"/>
    </xf>
    <xf numFmtId="175" fontId="15" fillId="2" borderId="0" xfId="7" applyNumberFormat="1" applyFont="1" applyFill="1" applyAlignment="1" applyProtection="1">
      <alignment horizontal="left" wrapText="1"/>
      <protection locked="0"/>
    </xf>
    <xf numFmtId="0" fontId="16" fillId="2" borderId="0" xfId="12" applyFont="1" applyFill="1" applyProtection="1">
      <protection locked="0"/>
    </xf>
    <xf numFmtId="0" fontId="11" fillId="2" borderId="12" xfId="12" applyFont="1" applyFill="1" applyBorder="1" applyProtection="1">
      <protection locked="0"/>
    </xf>
    <xf numFmtId="0" fontId="17" fillId="2" borderId="0" xfId="12" applyFont="1" applyFill="1"/>
    <xf numFmtId="37" fontId="19" fillId="0" borderId="0" xfId="4" applyNumberFormat="1" applyFont="1" applyFill="1" applyBorder="1" applyProtection="1"/>
    <xf numFmtId="37" fontId="19" fillId="0" borderId="1" xfId="4" applyNumberFormat="1" applyFont="1" applyFill="1" applyBorder="1" applyProtection="1"/>
    <xf numFmtId="37" fontId="19" fillId="0" borderId="0" xfId="4" applyNumberFormat="1" applyFont="1" applyFill="1" applyBorder="1" applyAlignment="1" applyProtection="1">
      <alignment horizontal="right"/>
    </xf>
    <xf numFmtId="168" fontId="0" fillId="0" borderId="8" xfId="4" applyNumberFormat="1" applyFont="1" applyFill="1" applyBorder="1" applyProtection="1"/>
    <xf numFmtId="168" fontId="0" fillId="0" borderId="9" xfId="4" applyNumberFormat="1" applyFont="1" applyFill="1" applyBorder="1" applyProtection="1"/>
    <xf numFmtId="168" fontId="0" fillId="0" borderId="0" xfId="4" applyNumberFormat="1" applyFont="1" applyFill="1" applyProtection="1"/>
    <xf numFmtId="164" fontId="31" fillId="0" borderId="0" xfId="4" applyNumberFormat="1" applyFont="1" applyFill="1" applyProtection="1"/>
    <xf numFmtId="172" fontId="19" fillId="0" borderId="0" xfId="4" applyNumberFormat="1" applyFont="1" applyFill="1" applyProtection="1"/>
    <xf numFmtId="37" fontId="19" fillId="0" borderId="0" xfId="4" applyNumberFormat="1" applyFont="1" applyFill="1" applyProtection="1"/>
    <xf numFmtId="37" fontId="0" fillId="0" borderId="1" xfId="4" applyNumberFormat="1" applyFont="1" applyFill="1" applyBorder="1" applyProtection="1"/>
    <xf numFmtId="170" fontId="20" fillId="0" borderId="0" xfId="4" applyNumberFormat="1" applyFont="1" applyFill="1" applyBorder="1" applyProtection="1"/>
    <xf numFmtId="164" fontId="19" fillId="0" borderId="0" xfId="4" applyNumberFormat="1" applyFont="1" applyFill="1" applyProtection="1"/>
    <xf numFmtId="37" fontId="19" fillId="0" borderId="8" xfId="4" applyNumberFormat="1" applyFont="1" applyFill="1" applyBorder="1" applyProtection="1"/>
    <xf numFmtId="167" fontId="0" fillId="0" borderId="0" xfId="4" applyNumberFormat="1" applyFont="1" applyFill="1" applyBorder="1" applyProtection="1"/>
    <xf numFmtId="0" fontId="36" fillId="0" borderId="0" xfId="14"/>
    <xf numFmtId="0" fontId="0" fillId="3" borderId="0" xfId="0" applyFill="1"/>
    <xf numFmtId="43" fontId="0" fillId="0" borderId="0" xfId="4" applyFont="1"/>
    <xf numFmtId="0" fontId="24" fillId="3" borderId="0" xfId="0" applyFont="1" applyFill="1"/>
    <xf numFmtId="0" fontId="6" fillId="0" borderId="0" xfId="8" applyFont="1" applyAlignment="1">
      <alignment horizontal="left" vertical="center"/>
    </xf>
    <xf numFmtId="176" fontId="23" fillId="0" borderId="6" xfId="0" applyNumberFormat="1" applyFont="1" applyBorder="1"/>
    <xf numFmtId="176" fontId="23" fillId="0" borderId="11" xfId="0" applyNumberFormat="1" applyFont="1" applyBorder="1"/>
    <xf numFmtId="0" fontId="8" fillId="0" borderId="15" xfId="0" quotePrefix="1" applyFont="1" applyBorder="1" applyAlignment="1">
      <alignment horizontal="left"/>
    </xf>
    <xf numFmtId="169" fontId="6" fillId="0" borderId="0" xfId="13" applyNumberFormat="1" applyFont="1" applyFill="1" applyBorder="1" applyProtection="1"/>
    <xf numFmtId="9" fontId="6" fillId="0" borderId="0" xfId="13" applyFont="1" applyFill="1" applyBorder="1" applyProtection="1"/>
    <xf numFmtId="9" fontId="6" fillId="0" borderId="15" xfId="13" applyFont="1" applyFill="1" applyBorder="1" applyProtection="1"/>
    <xf numFmtId="168" fontId="6" fillId="0" borderId="0" xfId="4" applyNumberFormat="1" applyFont="1" applyFill="1" applyBorder="1" applyProtection="1"/>
    <xf numFmtId="168" fontId="6" fillId="0" borderId="15" xfId="4" applyNumberFormat="1" applyFont="1" applyFill="1" applyBorder="1" applyProtection="1"/>
    <xf numFmtId="37" fontId="20" fillId="0" borderId="0" xfId="4" applyNumberFormat="1" applyFont="1"/>
    <xf numFmtId="37" fontId="0" fillId="0" borderId="0" xfId="4" applyNumberFormat="1" applyFont="1" applyAlignment="1">
      <alignment horizontal="right"/>
    </xf>
    <xf numFmtId="37" fontId="20" fillId="0" borderId="1" xfId="4" applyNumberFormat="1" applyFont="1" applyBorder="1"/>
    <xf numFmtId="37" fontId="0" fillId="0" borderId="1" xfId="4" applyNumberFormat="1" applyFont="1" applyBorder="1" applyAlignment="1">
      <alignment horizontal="right"/>
    </xf>
    <xf numFmtId="37" fontId="20" fillId="0" borderId="0" xfId="4" applyNumberFormat="1" applyFont="1" applyFill="1" applyBorder="1" applyAlignment="1" applyProtection="1">
      <alignment horizontal="right"/>
      <protection locked="0"/>
    </xf>
    <xf numFmtId="37" fontId="0" fillId="0" borderId="0" xfId="4" applyNumberFormat="1" applyFont="1" applyFill="1" applyBorder="1" applyAlignment="1" applyProtection="1">
      <alignment horizontal="right"/>
    </xf>
    <xf numFmtId="37" fontId="20" fillId="0" borderId="1" xfId="4" applyNumberFormat="1" applyFont="1" applyFill="1" applyBorder="1" applyAlignment="1" applyProtection="1">
      <alignment horizontal="right"/>
    </xf>
    <xf numFmtId="37" fontId="32" fillId="0" borderId="1" xfId="4" applyNumberFormat="1" applyFont="1" applyFill="1" applyBorder="1" applyAlignment="1" applyProtection="1">
      <alignment horizontal="right"/>
    </xf>
    <xf numFmtId="37" fontId="20" fillId="0" borderId="1" xfId="4" applyNumberFormat="1" applyFont="1" applyFill="1" applyBorder="1" applyProtection="1"/>
    <xf numFmtId="164" fontId="19" fillId="0" borderId="16" xfId="0" applyNumberFormat="1" applyFont="1" applyBorder="1"/>
    <xf numFmtId="0" fontId="0" fillId="0" borderId="18" xfId="0" applyBorder="1"/>
    <xf numFmtId="0" fontId="8" fillId="0" borderId="18" xfId="0" quotePrefix="1" applyFont="1" applyBorder="1" applyAlignment="1">
      <alignment horizontal="left"/>
    </xf>
    <xf numFmtId="0" fontId="6" fillId="0" borderId="18" xfId="8" applyFont="1" applyBorder="1"/>
    <xf numFmtId="168" fontId="6" fillId="0" borderId="18" xfId="4" applyNumberFormat="1" applyFont="1" applyFill="1" applyBorder="1" applyProtection="1"/>
    <xf numFmtId="168" fontId="20" fillId="0" borderId="18" xfId="4" applyNumberFormat="1" applyFont="1" applyFill="1" applyBorder="1" applyProtection="1"/>
    <xf numFmtId="37" fontId="29" fillId="0" borderId="1" xfId="4" applyNumberFormat="1" applyFont="1" applyFill="1" applyBorder="1" applyAlignment="1" applyProtection="1">
      <alignment horizontal="right"/>
      <protection locked="0"/>
    </xf>
    <xf numFmtId="37" fontId="20" fillId="0" borderId="0" xfId="4" applyNumberFormat="1" applyFont="1" applyFill="1" applyProtection="1">
      <protection locked="0"/>
    </xf>
    <xf numFmtId="37" fontId="20" fillId="0" borderId="1" xfId="4" applyNumberFormat="1" applyFont="1" applyFill="1" applyBorder="1" applyProtection="1">
      <protection locked="0"/>
    </xf>
    <xf numFmtId="0" fontId="0" fillId="0" borderId="8" xfId="0" quotePrefix="1" applyBorder="1" applyAlignment="1">
      <alignment horizontal="left"/>
    </xf>
    <xf numFmtId="37" fontId="0" fillId="0" borderId="8" xfId="4" applyNumberFormat="1" applyFont="1" applyFill="1" applyBorder="1" applyProtection="1"/>
    <xf numFmtId="0" fontId="29" fillId="0" borderId="1" xfId="0" applyFont="1" applyBorder="1"/>
    <xf numFmtId="37" fontId="29" fillId="0" borderId="0" xfId="4" applyNumberFormat="1" applyFont="1" applyFill="1" applyBorder="1" applyProtection="1"/>
    <xf numFmtId="37" fontId="6" fillId="0" borderId="0" xfId="4" applyNumberFormat="1" applyFont="1" applyFill="1" applyBorder="1" applyProtection="1"/>
    <xf numFmtId="37" fontId="19" fillId="0" borderId="16" xfId="4" applyNumberFormat="1" applyFont="1" applyFill="1" applyBorder="1" applyProtection="1"/>
    <xf numFmtId="37" fontId="29" fillId="0" borderId="0" xfId="4" applyNumberFormat="1" applyFont="1" applyFill="1" applyBorder="1" applyProtection="1">
      <protection locked="0"/>
    </xf>
    <xf numFmtId="37" fontId="30" fillId="0" borderId="0" xfId="4" applyNumberFormat="1" applyFont="1" applyFill="1" applyProtection="1"/>
    <xf numFmtId="0" fontId="0" fillId="0" borderId="13" xfId="0" applyBorder="1"/>
    <xf numFmtId="0" fontId="0" fillId="0" borderId="14" xfId="0" quotePrefix="1" applyBorder="1" applyAlignment="1">
      <alignment horizontal="left"/>
    </xf>
    <xf numFmtId="37" fontId="19" fillId="0" borderId="14" xfId="4" applyNumberFormat="1" applyFont="1" applyFill="1" applyBorder="1" applyProtection="1"/>
    <xf numFmtId="37" fontId="0" fillId="0" borderId="14" xfId="4" applyNumberFormat="1" applyFont="1" applyFill="1" applyBorder="1" applyProtection="1"/>
    <xf numFmtId="178" fontId="23" fillId="0" borderId="1" xfId="0" applyNumberFormat="1" applyFont="1" applyBorder="1"/>
    <xf numFmtId="37" fontId="6" fillId="0" borderId="1" xfId="4" applyNumberFormat="1" applyFont="1" applyFill="1" applyBorder="1" applyAlignment="1" applyProtection="1">
      <alignment horizontal="right"/>
      <protection locked="0"/>
    </xf>
    <xf numFmtId="37" fontId="6" fillId="0" borderId="0" xfId="4" applyNumberFormat="1" applyFont="1" applyFill="1" applyProtection="1"/>
    <xf numFmtId="0" fontId="0" fillId="0" borderId="0" xfId="0" quotePrefix="1" applyAlignment="1">
      <alignment horizontal="center"/>
    </xf>
    <xf numFmtId="37" fontId="32" fillId="0" borderId="1" xfId="4" applyNumberFormat="1" applyFont="1" applyFill="1" applyBorder="1" applyProtection="1"/>
    <xf numFmtId="37" fontId="32" fillId="0" borderId="0" xfId="4" applyNumberFormat="1" applyFont="1" applyFill="1" applyProtection="1"/>
    <xf numFmtId="168" fontId="0" fillId="0" borderId="1" xfId="4" applyNumberFormat="1" applyFont="1" applyBorder="1"/>
    <xf numFmtId="0" fontId="37" fillId="0" borderId="0" xfId="14" applyFont="1"/>
    <xf numFmtId="175" fontId="15" fillId="0" borderId="0" xfId="7" applyNumberFormat="1" applyFont="1" applyAlignment="1" applyProtection="1">
      <alignment horizontal="centerContinuous" wrapText="1"/>
      <protection locked="0"/>
    </xf>
    <xf numFmtId="175" fontId="15" fillId="2" borderId="0" xfId="7" applyNumberFormat="1" applyFont="1" applyFill="1" applyAlignment="1" applyProtection="1">
      <alignment horizontal="centerContinuous" wrapText="1"/>
      <protection locked="0"/>
    </xf>
    <xf numFmtId="0" fontId="11" fillId="2" borderId="0" xfId="12" applyFont="1" applyFill="1" applyAlignment="1" applyProtection="1">
      <alignment horizontal="centerContinuous"/>
      <protection locked="0"/>
    </xf>
    <xf numFmtId="0" fontId="19" fillId="0" borderId="5" xfId="0" applyFont="1" applyBorder="1"/>
    <xf numFmtId="179" fontId="23" fillId="0" borderId="1" xfId="0" applyNumberFormat="1" applyFont="1" applyBorder="1"/>
    <xf numFmtId="168" fontId="29" fillId="0" borderId="0" xfId="4" applyNumberFormat="1" applyFont="1"/>
    <xf numFmtId="181" fontId="0" fillId="0" borderId="0" xfId="0" applyNumberFormat="1"/>
    <xf numFmtId="168" fontId="19" fillId="0" borderId="0" xfId="0" applyNumberFormat="1" applyFont="1"/>
    <xf numFmtId="10" fontId="29" fillId="0" borderId="0" xfId="13" applyNumberFormat="1" applyFont="1"/>
    <xf numFmtId="10" fontId="0" fillId="0" borderId="0" xfId="13" applyNumberFormat="1" applyFont="1"/>
    <xf numFmtId="0" fontId="0" fillId="0" borderId="0" xfId="0" applyAlignment="1">
      <alignment horizontal="left" indent="1"/>
    </xf>
    <xf numFmtId="0" fontId="19" fillId="0" borderId="0" xfId="0" applyFont="1" applyAlignment="1">
      <alignment horizontal="left" indent="1"/>
    </xf>
    <xf numFmtId="168" fontId="29" fillId="0" borderId="1" xfId="4" applyNumberFormat="1" applyFont="1" applyBorder="1"/>
    <xf numFmtId="168" fontId="0" fillId="0" borderId="0" xfId="0" applyNumberFormat="1"/>
    <xf numFmtId="10" fontId="6" fillId="0" borderId="0" xfId="13" applyNumberFormat="1" applyFont="1" applyFill="1" applyBorder="1" applyProtection="1"/>
    <xf numFmtId="168" fontId="29" fillId="0" borderId="0" xfId="4" applyNumberFormat="1" applyFont="1" applyBorder="1"/>
    <xf numFmtId="180" fontId="0" fillId="0" borderId="0" xfId="0" applyNumberFormat="1"/>
    <xf numFmtId="37" fontId="0" fillId="0" borderId="1" xfId="0" applyNumberFormat="1" applyBorder="1"/>
    <xf numFmtId="37" fontId="19" fillId="0" borderId="0" xfId="0" applyNumberFormat="1" applyFont="1"/>
    <xf numFmtId="37" fontId="19" fillId="0" borderId="16" xfId="0" applyNumberFormat="1" applyFont="1" applyBorder="1"/>
    <xf numFmtId="0" fontId="0" fillId="0" borderId="16" xfId="0" applyBorder="1"/>
    <xf numFmtId="168" fontId="19" fillId="0" borderId="16" xfId="0" applyNumberFormat="1" applyFont="1" applyBorder="1"/>
    <xf numFmtId="10" fontId="19" fillId="0" borderId="1" xfId="13" applyNumberFormat="1" applyFont="1" applyFill="1" applyBorder="1" applyProtection="1"/>
    <xf numFmtId="182" fontId="38" fillId="0" borderId="0" xfId="0" applyNumberFormat="1" applyFont="1"/>
    <xf numFmtId="0" fontId="19" fillId="0" borderId="16" xfId="0" applyFont="1" applyBorder="1"/>
    <xf numFmtId="10" fontId="19" fillId="0" borderId="16" xfId="13" applyNumberFormat="1" applyFont="1" applyFill="1" applyBorder="1" applyProtection="1"/>
    <xf numFmtId="0" fontId="0" fillId="0" borderId="0" xfId="0" applyAlignment="1">
      <alignment horizontal="left" indent="2"/>
    </xf>
    <xf numFmtId="0" fontId="0" fillId="0" borderId="0" xfId="0" quotePrefix="1" applyAlignment="1">
      <alignment horizontal="left" indent="2"/>
    </xf>
    <xf numFmtId="9" fontId="19" fillId="0" borderId="1" xfId="13" applyFont="1" applyFill="1" applyBorder="1" applyProtection="1"/>
    <xf numFmtId="10" fontId="29" fillId="0" borderId="0" xfId="13" applyNumberFormat="1" applyFont="1" applyBorder="1"/>
    <xf numFmtId="10" fontId="19" fillId="0" borderId="0" xfId="0" applyNumberFormat="1" applyFont="1"/>
    <xf numFmtId="180" fontId="0" fillId="0" borderId="1" xfId="0" applyNumberFormat="1" applyBorder="1"/>
    <xf numFmtId="43" fontId="0" fillId="0" borderId="0" xfId="0" applyNumberFormat="1"/>
    <xf numFmtId="168" fontId="0" fillId="0" borderId="1" xfId="0" applyNumberFormat="1" applyBorder="1"/>
    <xf numFmtId="0" fontId="0" fillId="0" borderId="1" xfId="0" applyBorder="1" applyAlignment="1">
      <alignment horizontal="left" indent="1"/>
    </xf>
    <xf numFmtId="183" fontId="0" fillId="0" borderId="1" xfId="0" applyNumberFormat="1" applyBorder="1"/>
    <xf numFmtId="0" fontId="0" fillId="0" borderId="0" xfId="0" quotePrefix="1" applyAlignment="1">
      <alignment horizontal="left" indent="1"/>
    </xf>
    <xf numFmtId="0" fontId="0" fillId="0" borderId="1" xfId="0" quotePrefix="1" applyBorder="1" applyAlignment="1">
      <alignment horizontal="left" indent="1"/>
    </xf>
    <xf numFmtId="43" fontId="19" fillId="0" borderId="0" xfId="0" applyNumberFormat="1" applyFont="1"/>
    <xf numFmtId="0" fontId="19" fillId="0" borderId="1" xfId="0" applyFont="1" applyBorder="1" applyAlignment="1">
      <alignment horizontal="left" indent="3"/>
    </xf>
    <xf numFmtId="37" fontId="19" fillId="0" borderId="1" xfId="0" applyNumberFormat="1" applyFont="1" applyBorder="1"/>
    <xf numFmtId="2" fontId="39" fillId="2" borderId="11" xfId="0" applyNumberFormat="1" applyFont="1" applyFill="1" applyBorder="1"/>
    <xf numFmtId="9" fontId="40" fillId="2" borderId="1" xfId="0" applyNumberFormat="1" applyFont="1" applyFill="1" applyBorder="1"/>
    <xf numFmtId="10" fontId="40" fillId="2" borderId="6" xfId="0" applyNumberFormat="1" applyFont="1" applyFill="1" applyBorder="1"/>
    <xf numFmtId="183" fontId="33" fillId="0" borderId="0" xfId="0" applyNumberFormat="1" applyFont="1"/>
    <xf numFmtId="43" fontId="0" fillId="0" borderId="0" xfId="4" applyFont="1" applyBorder="1"/>
    <xf numFmtId="43" fontId="19" fillId="0" borderId="0" xfId="4" applyFont="1"/>
    <xf numFmtId="10" fontId="40" fillId="2" borderId="11" xfId="0" applyNumberFormat="1" applyFont="1" applyFill="1" applyBorder="1"/>
    <xf numFmtId="0" fontId="41" fillId="0" borderId="0" xfId="0" applyFont="1" applyAlignment="1">
      <alignment horizontal="right"/>
    </xf>
    <xf numFmtId="9" fontId="40" fillId="2" borderId="11" xfId="0" applyNumberFormat="1" applyFont="1" applyFill="1" applyBorder="1"/>
    <xf numFmtId="0" fontId="33" fillId="4" borderId="0" xfId="0" applyFont="1" applyFill="1"/>
    <xf numFmtId="180" fontId="33" fillId="4" borderId="0" xfId="0" applyNumberFormat="1" applyFont="1" applyFill="1"/>
    <xf numFmtId="183" fontId="33" fillId="4" borderId="0" xfId="0" applyNumberFormat="1" applyFont="1" applyFill="1"/>
    <xf numFmtId="10" fontId="33" fillId="4" borderId="0" xfId="13" applyNumberFormat="1" applyFont="1" applyFill="1"/>
    <xf numFmtId="0" fontId="34" fillId="4" borderId="0" xfId="0" applyFont="1" applyFill="1"/>
    <xf numFmtId="0" fontId="34" fillId="4" borderId="1" xfId="0" applyFont="1" applyFill="1" applyBorder="1"/>
    <xf numFmtId="0" fontId="33" fillId="0" borderId="0" xfId="0" applyFont="1"/>
    <xf numFmtId="14" fontId="33" fillId="4" borderId="0" xfId="0" applyNumberFormat="1" applyFont="1" applyFill="1"/>
    <xf numFmtId="0" fontId="33" fillId="4" borderId="0" xfId="0" applyFont="1" applyFill="1" applyAlignment="1">
      <alignment horizontal="right"/>
    </xf>
    <xf numFmtId="173" fontId="34" fillId="5" borderId="0" xfId="0" quotePrefix="1" applyNumberFormat="1" applyFont="1" applyFill="1" applyAlignment="1">
      <alignment horizontal="right"/>
    </xf>
    <xf numFmtId="9" fontId="29" fillId="0" borderId="15" xfId="13" applyFont="1" applyFill="1" applyBorder="1" applyProtection="1"/>
    <xf numFmtId="168" fontId="29" fillId="0" borderId="0" xfId="4" applyNumberFormat="1" applyFont="1" applyFill="1" applyBorder="1" applyProtection="1"/>
    <xf numFmtId="168" fontId="29" fillId="0" borderId="15" xfId="4" applyNumberFormat="1" applyFont="1" applyFill="1" applyBorder="1" applyProtection="1"/>
    <xf numFmtId="9" fontId="29" fillId="0" borderId="0" xfId="13" applyFont="1" applyFill="1" applyBorder="1" applyProtection="1"/>
    <xf numFmtId="169" fontId="29" fillId="0" borderId="0" xfId="13" applyNumberFormat="1" applyFont="1" applyFill="1" applyBorder="1" applyProtection="1"/>
    <xf numFmtId="0" fontId="0" fillId="0" borderId="0" xfId="0" applyAlignment="1">
      <alignment horizontal="left" indent="3"/>
    </xf>
    <xf numFmtId="0" fontId="19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0" fontId="42" fillId="0" borderId="0" xfId="12" applyFont="1" applyAlignment="1" applyProtection="1">
      <alignment horizontal="centerContinuous"/>
      <protection locked="0"/>
    </xf>
    <xf numFmtId="180" fontId="43" fillId="0" borderId="0" xfId="0" applyNumberFormat="1" applyFont="1"/>
    <xf numFmtId="180" fontId="32" fillId="0" borderId="0" xfId="0" applyNumberFormat="1" applyFont="1" applyAlignment="1">
      <alignment horizontal="right"/>
    </xf>
    <xf numFmtId="168" fontId="32" fillId="0" borderId="1" xfId="4" applyNumberFormat="1" applyFont="1" applyBorder="1"/>
    <xf numFmtId="168" fontId="32" fillId="0" borderId="0" xfId="4" applyNumberFormat="1" applyFont="1"/>
    <xf numFmtId="0" fontId="28" fillId="0" borderId="1" xfId="0" quotePrefix="1" applyFont="1" applyBorder="1"/>
    <xf numFmtId="0" fontId="26" fillId="0" borderId="1" xfId="0" applyFont="1" applyBorder="1" applyAlignment="1">
      <alignment horizontal="centerContinuous"/>
    </xf>
    <xf numFmtId="0" fontId="25" fillId="0" borderId="1" xfId="0" applyFont="1" applyBorder="1" applyAlignment="1">
      <alignment horizontal="right" vertical="center"/>
    </xf>
    <xf numFmtId="168" fontId="43" fillId="0" borderId="0" xfId="4" applyNumberFormat="1" applyFont="1" applyBorder="1"/>
    <xf numFmtId="168" fontId="32" fillId="0" borderId="0" xfId="4" applyNumberFormat="1" applyFont="1" applyBorder="1"/>
    <xf numFmtId="44" fontId="19" fillId="0" borderId="0" xfId="15" applyFont="1"/>
    <xf numFmtId="0" fontId="18" fillId="0" borderId="0" xfId="18" applyFont="1" applyAlignment="1">
      <alignment horizontal="centerContinuous"/>
    </xf>
    <xf numFmtId="0" fontId="44" fillId="0" borderId="0" xfId="18" applyFont="1" applyAlignment="1">
      <alignment horizontal="centerContinuous"/>
    </xf>
    <xf numFmtId="0" fontId="45" fillId="0" borderId="0" xfId="18" applyFont="1" applyAlignment="1">
      <alignment horizontal="centerContinuous"/>
    </xf>
    <xf numFmtId="0" fontId="6" fillId="0" borderId="0" xfId="18"/>
    <xf numFmtId="0" fontId="22" fillId="0" borderId="0" xfId="18" applyFont="1" applyAlignment="1">
      <alignment horizontal="centerContinuous"/>
    </xf>
    <xf numFmtId="0" fontId="6" fillId="0" borderId="12" xfId="18" applyBorder="1"/>
    <xf numFmtId="0" fontId="46" fillId="0" borderId="0" xfId="18" applyFont="1" applyAlignment="1">
      <alignment horizontal="centerContinuous"/>
    </xf>
    <xf numFmtId="0" fontId="19" fillId="0" borderId="0" xfId="18" applyFont="1" applyAlignment="1">
      <alignment horizontal="centerContinuous"/>
    </xf>
    <xf numFmtId="0" fontId="47" fillId="0" borderId="0" xfId="18" applyFont="1" applyAlignment="1">
      <alignment horizontal="centerContinuous"/>
    </xf>
    <xf numFmtId="0" fontId="6" fillId="0" borderId="0" xfId="18" applyAlignment="1">
      <alignment vertical="center"/>
    </xf>
    <xf numFmtId="0" fontId="6" fillId="6" borderId="19" xfId="18" applyFill="1" applyBorder="1" applyAlignment="1">
      <alignment vertical="center"/>
    </xf>
    <xf numFmtId="0" fontId="6" fillId="6" borderId="20" xfId="18" applyFill="1" applyBorder="1" applyAlignment="1">
      <alignment vertical="center"/>
    </xf>
    <xf numFmtId="0" fontId="33" fillId="6" borderId="20" xfId="18" applyFont="1" applyFill="1" applyBorder="1" applyAlignment="1">
      <alignment vertical="center"/>
    </xf>
    <xf numFmtId="0" fontId="48" fillId="6" borderId="21" xfId="18" applyFont="1" applyFill="1" applyBorder="1" applyAlignment="1">
      <alignment horizontal="centerContinuous" vertical="center"/>
    </xf>
    <xf numFmtId="0" fontId="49" fillId="6" borderId="21" xfId="18" applyFont="1" applyFill="1" applyBorder="1" applyAlignment="1">
      <alignment horizontal="centerContinuous" vertical="center"/>
    </xf>
    <xf numFmtId="0" fontId="33" fillId="6" borderId="22" xfId="18" applyFont="1" applyFill="1" applyBorder="1" applyAlignment="1">
      <alignment vertical="center"/>
    </xf>
    <xf numFmtId="0" fontId="34" fillId="6" borderId="0" xfId="18" applyFont="1" applyFill="1" applyAlignment="1">
      <alignment vertical="center"/>
    </xf>
    <xf numFmtId="0" fontId="6" fillId="6" borderId="0" xfId="18" applyFill="1" applyAlignment="1">
      <alignment vertical="center"/>
    </xf>
    <xf numFmtId="173" fontId="34" fillId="6" borderId="0" xfId="0" applyNumberFormat="1" applyFont="1" applyFill="1" applyAlignment="1">
      <alignment vertical="center"/>
    </xf>
    <xf numFmtId="0" fontId="34" fillId="6" borderId="0" xfId="0" applyFont="1" applyFill="1" applyAlignment="1">
      <alignment vertical="center"/>
    </xf>
    <xf numFmtId="0" fontId="33" fillId="6" borderId="24" xfId="18" applyFont="1" applyFill="1" applyBorder="1" applyAlignment="1">
      <alignment vertical="center"/>
    </xf>
    <xf numFmtId="0" fontId="6" fillId="0" borderId="5" xfId="18" applyBorder="1" applyAlignment="1">
      <alignment vertical="center"/>
    </xf>
    <xf numFmtId="0" fontId="6" fillId="0" borderId="5" xfId="18" applyBorder="1"/>
    <xf numFmtId="0" fontId="6" fillId="0" borderId="23" xfId="18" applyBorder="1"/>
    <xf numFmtId="0" fontId="19" fillId="0" borderId="0" xfId="18" applyFont="1"/>
    <xf numFmtId="0" fontId="6" fillId="0" borderId="24" xfId="18" applyBorder="1"/>
    <xf numFmtId="0" fontId="8" fillId="0" borderId="0" xfId="18" applyFont="1"/>
    <xf numFmtId="0" fontId="52" fillId="0" borderId="0" xfId="18" applyFont="1"/>
    <xf numFmtId="0" fontId="24" fillId="0" borderId="0" xfId="18" applyFont="1"/>
    <xf numFmtId="0" fontId="51" fillId="0" borderId="0" xfId="18" applyFont="1"/>
    <xf numFmtId="176" fontId="53" fillId="0" borderId="0" xfId="0" applyNumberFormat="1" applyFont="1"/>
    <xf numFmtId="0" fontId="54" fillId="0" borderId="0" xfId="18" applyFont="1"/>
    <xf numFmtId="0" fontId="51" fillId="0" borderId="25" xfId="18" applyFont="1" applyBorder="1"/>
    <xf numFmtId="164" fontId="6" fillId="0" borderId="24" xfId="4" applyNumberFormat="1" applyFont="1" applyBorder="1"/>
    <xf numFmtId="176" fontId="23" fillId="0" borderId="24" xfId="0" applyNumberFormat="1" applyFont="1" applyBorder="1"/>
    <xf numFmtId="0" fontId="25" fillId="0" borderId="0" xfId="18" applyFont="1"/>
    <xf numFmtId="0" fontId="6" fillId="0" borderId="26" xfId="18" applyBorder="1"/>
    <xf numFmtId="0" fontId="6" fillId="0" borderId="27" xfId="18" applyBorder="1"/>
    <xf numFmtId="0" fontId="6" fillId="0" borderId="27" xfId="18" applyBorder="1" applyAlignment="1">
      <alignment horizontal="left"/>
    </xf>
    <xf numFmtId="0" fontId="6" fillId="0" borderId="28" xfId="18" applyBorder="1"/>
    <xf numFmtId="0" fontId="6" fillId="0" borderId="10" xfId="18" applyBorder="1"/>
    <xf numFmtId="0" fontId="6" fillId="0" borderId="1" xfId="18" applyBorder="1"/>
    <xf numFmtId="184" fontId="51" fillId="0" borderId="0" xfId="15" applyNumberFormat="1" applyFont="1" applyFill="1" applyBorder="1"/>
    <xf numFmtId="184" fontId="6" fillId="7" borderId="0" xfId="15" applyNumberFormat="1" applyFont="1" applyFill="1" applyBorder="1"/>
    <xf numFmtId="0" fontId="19" fillId="0" borderId="5" xfId="18" applyFont="1" applyBorder="1"/>
    <xf numFmtId="168" fontId="51" fillId="0" borderId="1" xfId="4" applyNumberFormat="1" applyFont="1" applyFill="1" applyBorder="1" applyAlignment="1"/>
    <xf numFmtId="0" fontId="0" fillId="0" borderId="0" xfId="18" applyFont="1"/>
    <xf numFmtId="0" fontId="52" fillId="0" borderId="0" xfId="18" applyFont="1" applyAlignment="1">
      <alignment horizontal="left" indent="1"/>
    </xf>
    <xf numFmtId="176" fontId="52" fillId="7" borderId="0" xfId="0" applyNumberFormat="1" applyFont="1" applyFill="1"/>
    <xf numFmtId="0" fontId="19" fillId="0" borderId="0" xfId="18" applyFont="1" applyAlignment="1">
      <alignment horizontal="left"/>
    </xf>
    <xf numFmtId="0" fontId="6" fillId="0" borderId="7" xfId="18" applyBorder="1" applyAlignment="1">
      <alignment vertical="center"/>
    </xf>
    <xf numFmtId="0" fontId="6" fillId="0" borderId="8" xfId="18" applyBorder="1" applyAlignment="1">
      <alignment vertical="center"/>
    </xf>
    <xf numFmtId="0" fontId="28" fillId="0" borderId="14" xfId="18" applyFont="1" applyBorder="1" applyAlignment="1">
      <alignment horizontal="centerContinuous" vertical="center"/>
    </xf>
    <xf numFmtId="0" fontId="23" fillId="0" borderId="14" xfId="18" applyFont="1" applyBorder="1" applyAlignment="1">
      <alignment horizontal="centerContinuous" vertical="center"/>
    </xf>
    <xf numFmtId="173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52" fillId="0" borderId="1" xfId="18" applyFont="1" applyBorder="1" applyAlignment="1">
      <alignment horizontal="left" indent="1"/>
    </xf>
    <xf numFmtId="0" fontId="24" fillId="0" borderId="1" xfId="18" applyFont="1" applyBorder="1"/>
    <xf numFmtId="176" fontId="52" fillId="7" borderId="1" xfId="0" applyNumberFormat="1" applyFont="1" applyFill="1" applyBorder="1"/>
    <xf numFmtId="183" fontId="43" fillId="0" borderId="1" xfId="0" applyNumberFormat="1" applyFont="1" applyBorder="1"/>
    <xf numFmtId="7" fontId="32" fillId="0" borderId="1" xfId="0" applyNumberFormat="1" applyFont="1" applyBorder="1"/>
    <xf numFmtId="0" fontId="55" fillId="0" borderId="0" xfId="0" applyFont="1" applyAlignment="1">
      <alignment horizontal="left"/>
    </xf>
    <xf numFmtId="0" fontId="0" fillId="0" borderId="6" xfId="0" applyBorder="1"/>
    <xf numFmtId="0" fontId="0" fillId="0" borderId="9" xfId="0" applyBorder="1"/>
    <xf numFmtId="0" fontId="0" fillId="0" borderId="11" xfId="0" applyBorder="1"/>
    <xf numFmtId="37" fontId="0" fillId="0" borderId="29" xfId="4" applyNumberFormat="1" applyFont="1" applyFill="1" applyBorder="1" applyProtection="1"/>
    <xf numFmtId="0" fontId="58" fillId="0" borderId="30" xfId="19" applyFont="1" applyBorder="1" applyAlignment="1">
      <alignment vertical="center"/>
    </xf>
    <xf numFmtId="0" fontId="59" fillId="0" borderId="31" xfId="19" applyFont="1" applyBorder="1" applyAlignment="1">
      <alignment horizontal="right" vertical="center"/>
    </xf>
    <xf numFmtId="0" fontId="59" fillId="2" borderId="31" xfId="19" applyFont="1" applyFill="1" applyBorder="1" applyAlignment="1">
      <alignment horizontal="right" vertical="center"/>
    </xf>
    <xf numFmtId="0" fontId="56" fillId="0" borderId="0" xfId="19" applyFont="1" applyAlignment="1">
      <alignment vertical="center"/>
    </xf>
    <xf numFmtId="0" fontId="60" fillId="0" borderId="32" xfId="19" applyFont="1" applyBorder="1" applyAlignment="1">
      <alignment vertical="center" wrapText="1"/>
    </xf>
    <xf numFmtId="0" fontId="61" fillId="0" borderId="33" xfId="19" applyFont="1" applyBorder="1" applyAlignment="1">
      <alignment horizontal="right" vertical="center" wrapText="1"/>
    </xf>
    <xf numFmtId="0" fontId="61" fillId="8" borderId="33" xfId="19" applyFont="1" applyFill="1" applyBorder="1" applyAlignment="1">
      <alignment horizontal="right" vertical="center" wrapText="1"/>
    </xf>
    <xf numFmtId="0" fontId="1" fillId="0" borderId="0" xfId="19"/>
    <xf numFmtId="0" fontId="62" fillId="0" borderId="32" xfId="19" applyFont="1" applyBorder="1" applyAlignment="1">
      <alignment vertical="center" wrapText="1"/>
    </xf>
    <xf numFmtId="0" fontId="57" fillId="0" borderId="0" xfId="19" applyFont="1" applyAlignment="1">
      <alignment wrapText="1"/>
    </xf>
    <xf numFmtId="0" fontId="57" fillId="0" borderId="0" xfId="19" applyFont="1" applyAlignment="1">
      <alignment horizontal="right"/>
    </xf>
    <xf numFmtId="0" fontId="57" fillId="8" borderId="0" xfId="19" applyFont="1" applyFill="1" applyAlignment="1">
      <alignment horizontal="right"/>
    </xf>
    <xf numFmtId="0" fontId="56" fillId="0" borderId="0" xfId="19" applyFont="1"/>
    <xf numFmtId="0" fontId="63" fillId="0" borderId="0" xfId="19" applyFont="1" applyAlignment="1">
      <alignment wrapText="1"/>
    </xf>
    <xf numFmtId="0" fontId="61" fillId="0" borderId="0" xfId="19" applyFont="1" applyAlignment="1">
      <alignment wrapText="1"/>
    </xf>
    <xf numFmtId="0" fontId="61" fillId="0" borderId="0" xfId="19" applyFont="1" applyAlignment="1">
      <alignment horizontal="right"/>
    </xf>
    <xf numFmtId="0" fontId="61" fillId="8" borderId="0" xfId="19" applyFont="1" applyFill="1" applyAlignment="1">
      <alignment horizontal="right"/>
    </xf>
    <xf numFmtId="0" fontId="64" fillId="0" borderId="0" xfId="19" applyFont="1"/>
    <xf numFmtId="0" fontId="65" fillId="0" borderId="0" xfId="19" applyFont="1" applyAlignment="1">
      <alignment wrapText="1"/>
    </xf>
    <xf numFmtId="167" fontId="57" fillId="0" borderId="0" xfId="20" applyNumberFormat="1" applyFont="1" applyFill="1" applyBorder="1" applyAlignment="1">
      <alignment horizontal="right"/>
    </xf>
    <xf numFmtId="167" fontId="57" fillId="8" borderId="0" xfId="20" applyNumberFormat="1" applyFont="1" applyFill="1" applyBorder="1" applyAlignment="1">
      <alignment horizontal="right"/>
    </xf>
    <xf numFmtId="185" fontId="57" fillId="0" borderId="0" xfId="20" applyNumberFormat="1" applyFont="1" applyFill="1" applyBorder="1" applyAlignment="1">
      <alignment horizontal="right"/>
    </xf>
    <xf numFmtId="185" fontId="57" fillId="8" borderId="0" xfId="20" applyNumberFormat="1" applyFont="1" applyFill="1" applyBorder="1" applyAlignment="1">
      <alignment horizontal="right"/>
    </xf>
    <xf numFmtId="185" fontId="57" fillId="0" borderId="34" xfId="20" applyNumberFormat="1" applyFont="1" applyFill="1" applyBorder="1" applyAlignment="1">
      <alignment horizontal="right"/>
    </xf>
    <xf numFmtId="185" fontId="57" fillId="8" borderId="34" xfId="20" applyNumberFormat="1" applyFont="1" applyFill="1" applyBorder="1" applyAlignment="1">
      <alignment horizontal="right"/>
    </xf>
    <xf numFmtId="167" fontId="61" fillId="0" borderId="0" xfId="19" applyNumberFormat="1" applyFont="1" applyAlignment="1">
      <alignment horizontal="right"/>
    </xf>
    <xf numFmtId="167" fontId="61" fillId="8" borderId="0" xfId="19" applyNumberFormat="1" applyFont="1" applyFill="1" applyAlignment="1">
      <alignment horizontal="right"/>
    </xf>
    <xf numFmtId="0" fontId="66" fillId="0" borderId="0" xfId="19" applyFont="1" applyAlignment="1">
      <alignment wrapText="1"/>
    </xf>
    <xf numFmtId="185" fontId="61" fillId="0" borderId="0" xfId="19" applyNumberFormat="1" applyFont="1" applyAlignment="1">
      <alignment horizontal="right"/>
    </xf>
    <xf numFmtId="185" fontId="61" fillId="8" borderId="0" xfId="19" applyNumberFormat="1" applyFont="1" applyFill="1" applyAlignment="1">
      <alignment horizontal="right"/>
    </xf>
    <xf numFmtId="186" fontId="61" fillId="0" borderId="0" xfId="19" applyNumberFormat="1" applyFont="1" applyAlignment="1">
      <alignment horizontal="right"/>
    </xf>
    <xf numFmtId="186" fontId="61" fillId="8" borderId="0" xfId="19" applyNumberFormat="1" applyFont="1" applyFill="1" applyAlignment="1">
      <alignment horizontal="right"/>
    </xf>
    <xf numFmtId="185" fontId="61" fillId="0" borderId="0" xfId="20" applyNumberFormat="1" applyFont="1" applyFill="1" applyBorder="1" applyAlignment="1">
      <alignment horizontal="right"/>
    </xf>
    <xf numFmtId="185" fontId="61" fillId="8" borderId="0" xfId="20" applyNumberFormat="1" applyFont="1" applyFill="1" applyBorder="1" applyAlignment="1">
      <alignment horizontal="right"/>
    </xf>
    <xf numFmtId="167" fontId="57" fillId="0" borderId="34" xfId="20" applyNumberFormat="1" applyFont="1" applyFill="1" applyBorder="1" applyAlignment="1">
      <alignment horizontal="right"/>
    </xf>
    <xf numFmtId="167" fontId="57" fillId="8" borderId="34" xfId="20" applyNumberFormat="1" applyFont="1" applyFill="1" applyBorder="1" applyAlignment="1">
      <alignment horizontal="right"/>
    </xf>
    <xf numFmtId="0" fontId="57" fillId="0" borderId="35" xfId="19" applyFont="1" applyBorder="1" applyAlignment="1">
      <alignment horizontal="right"/>
    </xf>
    <xf numFmtId="0" fontId="57" fillId="8" borderId="35" xfId="19" applyFont="1" applyFill="1" applyBorder="1" applyAlignment="1">
      <alignment horizontal="right"/>
    </xf>
    <xf numFmtId="185" fontId="61" fillId="0" borderId="34" xfId="20" applyNumberFormat="1" applyFont="1" applyFill="1" applyBorder="1" applyAlignment="1">
      <alignment horizontal="right"/>
    </xf>
    <xf numFmtId="185" fontId="61" fillId="8" borderId="34" xfId="20" applyNumberFormat="1" applyFont="1" applyFill="1" applyBorder="1" applyAlignment="1">
      <alignment horizontal="right"/>
    </xf>
    <xf numFmtId="167" fontId="61" fillId="0" borderId="34" xfId="19" applyNumberFormat="1" applyFont="1" applyBorder="1" applyAlignment="1">
      <alignment horizontal="right"/>
    </xf>
    <xf numFmtId="167" fontId="61" fillId="8" borderId="34" xfId="19" applyNumberFormat="1" applyFont="1" applyFill="1" applyBorder="1" applyAlignment="1">
      <alignment horizontal="right"/>
    </xf>
    <xf numFmtId="185" fontId="57" fillId="0" borderId="35" xfId="19" applyNumberFormat="1" applyFont="1" applyBorder="1" applyAlignment="1">
      <alignment horizontal="right"/>
    </xf>
    <xf numFmtId="185" fontId="57" fillId="8" borderId="35" xfId="19" applyNumberFormat="1" applyFont="1" applyFill="1" applyBorder="1" applyAlignment="1">
      <alignment horizontal="right"/>
    </xf>
    <xf numFmtId="185" fontId="61" fillId="0" borderId="34" xfId="19" applyNumberFormat="1" applyFont="1" applyBorder="1" applyAlignment="1">
      <alignment horizontal="right"/>
    </xf>
    <xf numFmtId="185" fontId="61" fillId="8" borderId="34" xfId="19" applyNumberFormat="1" applyFont="1" applyFill="1" applyBorder="1" applyAlignment="1">
      <alignment horizontal="right"/>
    </xf>
    <xf numFmtId="43" fontId="57" fillId="0" borderId="0" xfId="20" applyNumberFormat="1" applyFont="1" applyFill="1" applyBorder="1" applyAlignment="1">
      <alignment horizontal="right"/>
    </xf>
    <xf numFmtId="167" fontId="61" fillId="0" borderId="36" xfId="19" applyNumberFormat="1" applyFont="1" applyBorder="1" applyAlignment="1">
      <alignment horizontal="right"/>
    </xf>
    <xf numFmtId="167" fontId="61" fillId="8" borderId="36" xfId="19" applyNumberFormat="1" applyFont="1" applyFill="1" applyBorder="1" applyAlignment="1">
      <alignment horizontal="right"/>
    </xf>
    <xf numFmtId="185" fontId="61" fillId="0" borderId="36" xfId="19" applyNumberFormat="1" applyFont="1" applyBorder="1" applyAlignment="1">
      <alignment horizontal="right"/>
    </xf>
    <xf numFmtId="185" fontId="61" fillId="8" borderId="36" xfId="19" applyNumberFormat="1" applyFont="1" applyFill="1" applyBorder="1" applyAlignment="1">
      <alignment horizontal="right"/>
    </xf>
    <xf numFmtId="167" fontId="61" fillId="0" borderId="0" xfId="20" applyNumberFormat="1" applyFont="1" applyFill="1" applyBorder="1" applyAlignment="1">
      <alignment horizontal="right"/>
    </xf>
    <xf numFmtId="167" fontId="61" fillId="8" borderId="0" xfId="20" applyNumberFormat="1" applyFont="1" applyFill="1" applyBorder="1" applyAlignment="1">
      <alignment horizontal="right"/>
    </xf>
    <xf numFmtId="0" fontId="56" fillId="0" borderId="0" xfId="19" applyFont="1" applyAlignment="1">
      <alignment horizontal="right"/>
    </xf>
    <xf numFmtId="0" fontId="58" fillId="0" borderId="30" xfId="19" applyFont="1" applyBorder="1"/>
    <xf numFmtId="0" fontId="65" fillId="0" borderId="30" xfId="19" applyFont="1" applyBorder="1"/>
    <xf numFmtId="0" fontId="60" fillId="0" borderId="32" xfId="19" applyFont="1" applyBorder="1" applyAlignment="1">
      <alignment wrapText="1"/>
    </xf>
    <xf numFmtId="0" fontId="62" fillId="0" borderId="32" xfId="19" applyFont="1" applyBorder="1" applyAlignment="1">
      <alignment wrapText="1"/>
    </xf>
    <xf numFmtId="0" fontId="63" fillId="0" borderId="0" xfId="19" applyFont="1" applyAlignment="1">
      <alignment horizontal="right"/>
    </xf>
    <xf numFmtId="0" fontId="63" fillId="8" borderId="0" xfId="19" applyFont="1" applyFill="1" applyAlignment="1">
      <alignment horizontal="right"/>
    </xf>
    <xf numFmtId="0" fontId="67" fillId="0" borderId="0" xfId="19" applyFont="1" applyAlignment="1">
      <alignment wrapText="1"/>
    </xf>
    <xf numFmtId="167" fontId="67" fillId="0" borderId="0" xfId="20" applyNumberFormat="1" applyFont="1" applyFill="1" applyBorder="1" applyAlignment="1">
      <alignment horizontal="right"/>
    </xf>
    <xf numFmtId="167" fontId="67" fillId="8" borderId="0" xfId="20" applyNumberFormat="1" applyFont="1" applyFill="1" applyBorder="1" applyAlignment="1">
      <alignment horizontal="right"/>
    </xf>
    <xf numFmtId="187" fontId="56" fillId="0" borderId="0" xfId="19" applyNumberFormat="1" applyFont="1"/>
    <xf numFmtId="167" fontId="65" fillId="0" borderId="0" xfId="20" applyNumberFormat="1" applyFont="1" applyFill="1" applyBorder="1" applyAlignment="1">
      <alignment horizontal="right"/>
    </xf>
    <xf numFmtId="167" fontId="65" fillId="8" borderId="0" xfId="20" applyNumberFormat="1" applyFont="1" applyFill="1" applyBorder="1" applyAlignment="1">
      <alignment horizontal="right"/>
    </xf>
    <xf numFmtId="169" fontId="56" fillId="0" borderId="0" xfId="21" applyNumberFormat="1" applyFont="1"/>
    <xf numFmtId="188" fontId="64" fillId="0" borderId="0" xfId="19" applyNumberFormat="1" applyFont="1"/>
    <xf numFmtId="0" fontId="57" fillId="0" borderId="35" xfId="19" applyFont="1" applyBorder="1" applyAlignment="1">
      <alignment wrapText="1"/>
    </xf>
    <xf numFmtId="0" fontId="63" fillId="0" borderId="35" xfId="19" applyFont="1" applyBorder="1" applyAlignment="1">
      <alignment wrapText="1"/>
    </xf>
    <xf numFmtId="0" fontId="67" fillId="0" borderId="35" xfId="19" applyFont="1" applyBorder="1" applyAlignment="1">
      <alignment horizontal="right"/>
    </xf>
    <xf numFmtId="0" fontId="67" fillId="8" borderId="35" xfId="19" applyFont="1" applyFill="1" applyBorder="1" applyAlignment="1">
      <alignment horizontal="right"/>
    </xf>
    <xf numFmtId="9" fontId="56" fillId="0" borderId="0" xfId="21" applyFont="1"/>
    <xf numFmtId="0" fontId="61" fillId="0" borderId="0" xfId="19" applyFont="1" applyAlignment="1">
      <alignment horizontal="left" wrapText="1"/>
    </xf>
    <xf numFmtId="188" fontId="56" fillId="0" borderId="0" xfId="19" applyNumberFormat="1" applyFont="1"/>
    <xf numFmtId="0" fontId="65" fillId="0" borderId="0" xfId="19" applyFont="1" applyAlignment="1">
      <alignment horizontal="left" wrapText="1"/>
    </xf>
    <xf numFmtId="0" fontId="61" fillId="0" borderId="34" xfId="19" applyFont="1" applyBorder="1" applyAlignment="1">
      <alignment horizontal="left" wrapText="1"/>
    </xf>
    <xf numFmtId="167" fontId="61" fillId="0" borderId="34" xfId="20" applyNumberFormat="1" applyFont="1" applyFill="1" applyBorder="1" applyAlignment="1">
      <alignment horizontal="right"/>
    </xf>
    <xf numFmtId="167" fontId="61" fillId="8" borderId="34" xfId="20" applyNumberFormat="1" applyFont="1" applyFill="1" applyBorder="1" applyAlignment="1">
      <alignment horizontal="right"/>
    </xf>
    <xf numFmtId="0" fontId="65" fillId="0" borderId="34" xfId="19" applyFont="1" applyBorder="1" applyAlignment="1">
      <alignment horizontal="left" wrapText="1"/>
    </xf>
    <xf numFmtId="167" fontId="65" fillId="0" borderId="34" xfId="20" applyNumberFormat="1" applyFont="1" applyFill="1" applyBorder="1" applyAlignment="1">
      <alignment horizontal="right"/>
    </xf>
    <xf numFmtId="167" fontId="65" fillId="8" borderId="34" xfId="20" applyNumberFormat="1" applyFont="1" applyFill="1" applyBorder="1" applyAlignment="1">
      <alignment horizontal="right"/>
    </xf>
    <xf numFmtId="0" fontId="67" fillId="0" borderId="0" xfId="19" applyFont="1" applyAlignment="1">
      <alignment horizontal="right"/>
    </xf>
    <xf numFmtId="0" fontId="67" fillId="8" borderId="0" xfId="19" applyFont="1" applyFill="1" applyAlignment="1">
      <alignment horizontal="right"/>
    </xf>
    <xf numFmtId="43" fontId="57" fillId="8" borderId="0" xfId="20" applyNumberFormat="1" applyFont="1" applyFill="1" applyBorder="1" applyAlignment="1">
      <alignment horizontal="right"/>
    </xf>
    <xf numFmtId="43" fontId="6" fillId="0" borderId="0" xfId="20" applyNumberFormat="1" applyFont="1" applyFill="1" applyBorder="1" applyAlignment="1">
      <alignment horizontal="center"/>
    </xf>
    <xf numFmtId="43" fontId="67" fillId="0" borderId="0" xfId="20" applyNumberFormat="1" applyFont="1" applyFill="1" applyBorder="1" applyAlignment="1">
      <alignment horizontal="right"/>
    </xf>
    <xf numFmtId="43" fontId="67" fillId="8" borderId="0" xfId="20" applyNumberFormat="1" applyFont="1" applyFill="1" applyBorder="1" applyAlignment="1">
      <alignment horizontal="right"/>
    </xf>
    <xf numFmtId="0" fontId="61" fillId="0" borderId="34" xfId="19" applyFont="1" applyBorder="1" applyAlignment="1">
      <alignment wrapText="1"/>
    </xf>
    <xf numFmtId="0" fontId="65" fillId="0" borderId="34" xfId="19" applyFont="1" applyBorder="1" applyAlignment="1">
      <alignment wrapText="1"/>
    </xf>
    <xf numFmtId="0" fontId="57" fillId="0" borderId="0" xfId="19" applyFont="1" applyAlignment="1">
      <alignment horizontal="left" wrapText="1"/>
    </xf>
    <xf numFmtId="0" fontId="61" fillId="0" borderId="35" xfId="19" applyFont="1" applyBorder="1" applyAlignment="1">
      <alignment wrapText="1"/>
    </xf>
    <xf numFmtId="167" fontId="61" fillId="0" borderId="35" xfId="20" applyNumberFormat="1" applyFont="1" applyFill="1" applyBorder="1" applyAlignment="1">
      <alignment horizontal="right"/>
    </xf>
    <xf numFmtId="167" fontId="61" fillId="8" borderId="35" xfId="20" applyNumberFormat="1" applyFont="1" applyFill="1" applyBorder="1" applyAlignment="1">
      <alignment horizontal="right"/>
    </xf>
    <xf numFmtId="185" fontId="61" fillId="0" borderId="35" xfId="20" applyNumberFormat="1" applyFont="1" applyFill="1" applyBorder="1" applyAlignment="1">
      <alignment horizontal="right"/>
    </xf>
    <xf numFmtId="185" fontId="61" fillId="8" borderId="35" xfId="20" applyNumberFormat="1" applyFont="1" applyFill="1" applyBorder="1" applyAlignment="1">
      <alignment horizontal="right"/>
    </xf>
    <xf numFmtId="37" fontId="20" fillId="0" borderId="0" xfId="4" applyNumberFormat="1" applyFont="1" applyBorder="1"/>
    <xf numFmtId="37" fontId="20" fillId="0" borderId="0" xfId="4" applyNumberFormat="1" applyFont="1" applyFill="1" applyBorder="1" applyAlignment="1" applyProtection="1">
      <alignment horizontal="right"/>
    </xf>
    <xf numFmtId="37" fontId="64" fillId="0" borderId="0" xfId="19" applyNumberFormat="1" applyFont="1"/>
    <xf numFmtId="37" fontId="56" fillId="0" borderId="0" xfId="19" applyNumberFormat="1" applyFont="1"/>
    <xf numFmtId="37" fontId="20" fillId="0" borderId="0" xfId="4" applyNumberFormat="1" applyFont="1" applyProtection="1">
      <protection locked="0"/>
    </xf>
    <xf numFmtId="37" fontId="20" fillId="0" borderId="1" xfId="4" applyNumberFormat="1" applyFont="1" applyBorder="1" applyProtection="1">
      <protection locked="0"/>
    </xf>
    <xf numFmtId="37" fontId="19" fillId="0" borderId="16" xfId="4" applyNumberFormat="1" applyFont="1" applyBorder="1"/>
    <xf numFmtId="189" fontId="29" fillId="0" borderId="0" xfId="4" applyNumberFormat="1" applyFont="1" applyFill="1" applyBorder="1" applyProtection="1">
      <protection locked="0"/>
    </xf>
    <xf numFmtId="169" fontId="32" fillId="0" borderId="0" xfId="13" applyNumberFormat="1" applyFont="1" applyFill="1" applyBorder="1" applyProtection="1"/>
    <xf numFmtId="10" fontId="41" fillId="0" borderId="0" xfId="13" applyNumberFormat="1" applyFont="1"/>
    <xf numFmtId="37" fontId="32" fillId="0" borderId="0" xfId="0" applyNumberFormat="1" applyFont="1"/>
    <xf numFmtId="0" fontId="29" fillId="0" borderId="0" xfId="0" applyFont="1"/>
    <xf numFmtId="9" fontId="32" fillId="0" borderId="0" xfId="13" applyFont="1" applyFill="1" applyBorder="1" applyProtection="1"/>
    <xf numFmtId="168" fontId="32" fillId="0" borderId="0" xfId="4" applyNumberFormat="1" applyFont="1" applyFill="1" applyBorder="1" applyProtection="1"/>
    <xf numFmtId="168" fontId="32" fillId="0" borderId="15" xfId="4" applyNumberFormat="1" applyFont="1" applyFill="1" applyBorder="1" applyProtection="1"/>
    <xf numFmtId="9" fontId="32" fillId="0" borderId="15" xfId="13" applyFont="1" applyFill="1" applyBorder="1" applyProtection="1"/>
    <xf numFmtId="7" fontId="33" fillId="4" borderId="0" xfId="0" applyNumberFormat="1" applyFont="1" applyFill="1"/>
    <xf numFmtId="0" fontId="33" fillId="4" borderId="0" xfId="0" applyFont="1" applyFill="1" applyAlignment="1">
      <alignment horizontal="center"/>
    </xf>
    <xf numFmtId="14" fontId="33" fillId="4" borderId="0" xfId="0" applyNumberFormat="1" applyFont="1" applyFill="1" applyAlignment="1">
      <alignment horizontal="right"/>
    </xf>
    <xf numFmtId="10" fontId="33" fillId="4" borderId="0" xfId="13" applyNumberFormat="1" applyFont="1" applyFill="1" applyAlignment="1">
      <alignment horizontal="center"/>
    </xf>
    <xf numFmtId="0" fontId="32" fillId="4" borderId="0" xfId="0" applyFont="1" applyFill="1"/>
    <xf numFmtId="14" fontId="32" fillId="4" borderId="0" xfId="0" applyNumberFormat="1" applyFont="1" applyFill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0" fillId="0" borderId="0" xfId="0" applyAlignment="1">
      <alignment vertical="center"/>
    </xf>
    <xf numFmtId="168" fontId="19" fillId="0" borderId="0" xfId="0" applyNumberFormat="1" applyFont="1" applyAlignment="1">
      <alignment vertical="center"/>
    </xf>
    <xf numFmtId="0" fontId="68" fillId="0" borderId="1" xfId="0" applyFont="1" applyBorder="1" applyAlignment="1">
      <alignment horizontal="centerContinuous"/>
    </xf>
    <xf numFmtId="0" fontId="69" fillId="0" borderId="0" xfId="0" applyFont="1"/>
    <xf numFmtId="190" fontId="0" fillId="0" borderId="0" xfId="4" applyNumberFormat="1" applyFont="1" applyFill="1" applyBorder="1" applyProtection="1"/>
    <xf numFmtId="43" fontId="6" fillId="0" borderId="0" xfId="4" applyFont="1"/>
    <xf numFmtId="43" fontId="19" fillId="0" borderId="0" xfId="4" applyFont="1" applyBorder="1"/>
    <xf numFmtId="183" fontId="0" fillId="0" borderId="0" xfId="0" applyNumberFormat="1"/>
    <xf numFmtId="0" fontId="61" fillId="0" borderId="31" xfId="19" applyFont="1" applyBorder="1" applyAlignment="1">
      <alignment horizontal="right" wrapText="1"/>
    </xf>
    <xf numFmtId="0" fontId="61" fillId="8" borderId="37" xfId="19" applyFont="1" applyFill="1" applyBorder="1" applyAlignment="1">
      <alignment horizontal="right" wrapText="1"/>
    </xf>
    <xf numFmtId="0" fontId="65" fillId="0" borderId="31" xfId="19" applyFont="1" applyBorder="1" applyAlignment="1">
      <alignment horizontal="right" wrapText="1"/>
    </xf>
    <xf numFmtId="0" fontId="65" fillId="8" borderId="38" xfId="19" applyFont="1" applyFill="1" applyBorder="1" applyAlignment="1">
      <alignment horizontal="right" wrapText="1"/>
    </xf>
    <xf numFmtId="0" fontId="50" fillId="0" borderId="0" xfId="18" applyFont="1" applyAlignment="1"/>
    <xf numFmtId="0" fontId="33" fillId="0" borderId="0" xfId="18" applyFont="1"/>
    <xf numFmtId="0" fontId="70" fillId="0" borderId="0" xfId="18" applyFont="1"/>
    <xf numFmtId="0" fontId="6" fillId="0" borderId="0" xfId="18" applyAlignment="1">
      <alignment horizontal="center"/>
    </xf>
    <xf numFmtId="0" fontId="54" fillId="0" borderId="0" xfId="18" applyFont="1" applyAlignment="1">
      <alignment horizontal="center"/>
    </xf>
    <xf numFmtId="0" fontId="0" fillId="0" borderId="0" xfId="0" applyBorder="1"/>
    <xf numFmtId="0" fontId="24" fillId="0" borderId="0" xfId="0" applyFont="1" applyBorder="1"/>
    <xf numFmtId="178" fontId="23" fillId="0" borderId="0" xfId="0" applyNumberFormat="1" applyFont="1" applyBorder="1"/>
    <xf numFmtId="0" fontId="24" fillId="0" borderId="0" xfId="0" quotePrefix="1" applyFont="1" applyBorder="1"/>
    <xf numFmtId="179" fontId="23" fillId="0" borderId="0" xfId="0" applyNumberFormat="1" applyFont="1" applyBorder="1"/>
  </cellXfs>
  <cellStyles count="22">
    <cellStyle name="Across" xfId="1" xr:uid="{00000000-0005-0000-0000-000000000000}"/>
    <cellStyle name="Bottom" xfId="2" xr:uid="{00000000-0005-0000-0000-000001000000}"/>
    <cellStyle name="Center" xfId="3" xr:uid="{00000000-0005-0000-0000-000002000000}"/>
    <cellStyle name="Comma" xfId="4" builtinId="3"/>
    <cellStyle name="Comma 2" xfId="20" xr:uid="{8ABE7ACE-2526-4419-91E4-BB5CD0C79F21}"/>
    <cellStyle name="Comma 4" xfId="16" xr:uid="{8323E9CC-A4CC-4D3F-A1DF-0A06A39E04A1}"/>
    <cellStyle name="Currency" xfId="15" builtinId="4"/>
    <cellStyle name="Currency [2]" xfId="5" xr:uid="{00000000-0005-0000-0000-000004000000}"/>
    <cellStyle name="Double" xfId="6" xr:uid="{00000000-0005-0000-0000-000005000000}"/>
    <cellStyle name="Hyperlink" xfId="14" builtinId="8"/>
    <cellStyle name="Normal" xfId="0" builtinId="0"/>
    <cellStyle name="Normal 2" xfId="12" xr:uid="{00000000-0005-0000-0000-000007000000}"/>
    <cellStyle name="Normal 3" xfId="19" xr:uid="{9833BA34-FEC1-44CE-8F9F-69A2C9514B51}"/>
    <cellStyle name="Normal_DrydenNewDCF3" xfId="18" xr:uid="{24E1AA05-F044-4B93-A401-F28AEA31A2B4}"/>
    <cellStyle name="Normal_Inverness Drive Model 4-26-02" xfId="7" xr:uid="{00000000-0005-0000-0000-000009000000}"/>
    <cellStyle name="Normal_TrainingDCF1" xfId="8" xr:uid="{00000000-0005-0000-0000-00000A000000}"/>
    <cellStyle name="Numbers" xfId="9" xr:uid="{00000000-0005-0000-0000-00000B000000}"/>
    <cellStyle name="Numbers - Bold - Italic" xfId="10" xr:uid="{00000000-0005-0000-0000-00000C000000}"/>
    <cellStyle name="Outline" xfId="11" xr:uid="{00000000-0005-0000-0000-00000D000000}"/>
    <cellStyle name="Percent" xfId="13" builtinId="5"/>
    <cellStyle name="Percent 2" xfId="21" xr:uid="{E5CA10C3-DD9F-4060-90BB-098248C8A254}"/>
    <cellStyle name="Percent 4" xfId="17" xr:uid="{C1408F04-5A7F-4AB9-8825-478571145263}"/>
  </cellStyles>
  <dxfs count="6"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009B73"/>
      <color rgb="FF5B77CC"/>
      <color rgb="FFFFFF99"/>
      <color rgb="FF009966"/>
      <color rgb="FF002F6C"/>
      <color rgb="FF008ED6"/>
      <color rgb="FF6B72A9"/>
      <color rgb="FF6B729F"/>
      <color rgb="FF4586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externalLink" Target="externalLinks/externalLink20.xml"/><Relationship Id="rId39" Type="http://schemas.microsoft.com/office/2006/relationships/vbaProject" Target="vbaProject.bin"/><Relationship Id="rId21" Type="http://schemas.openxmlformats.org/officeDocument/2006/relationships/externalLink" Target="externalLinks/externalLink15.xml"/><Relationship Id="rId34" Type="http://schemas.openxmlformats.org/officeDocument/2006/relationships/calcChain" Target="calcChain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33" Type="http://schemas.microsoft.com/office/2017/10/relationships/person" Target="persons/person.xml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externalLink" Target="externalLinks/externalLink21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96673</xdr:colOff>
      <xdr:row>1</xdr:row>
      <xdr:rowOff>0</xdr:rowOff>
    </xdr:from>
    <xdr:to>
      <xdr:col>30</xdr:col>
      <xdr:colOff>1415955</xdr:colOff>
      <xdr:row>2</xdr:row>
      <xdr:rowOff>39806</xdr:rowOff>
    </xdr:to>
    <xdr:sp macro="[0]!COMPILA_CEN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17B5F8-BC46-A6D6-3BB0-4B86A8C1D3F6}"/>
            </a:ext>
          </a:extLst>
        </xdr:cNvPr>
        <xdr:cNvSpPr/>
      </xdr:nvSpPr>
      <xdr:spPr>
        <a:xfrm>
          <a:off x="10673688" y="284328"/>
          <a:ext cx="1433013" cy="261582"/>
        </a:xfrm>
        <a:prstGeom prst="roundRect">
          <a:avLst/>
        </a:prstGeom>
        <a:solidFill>
          <a:srgbClr val="0000FF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COMPILAR CENÁRIO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EXCEL\&#49688;&#51452;\&#49324;&#50629;&#49457;~1\96\&#49552;&#51061;&#44592;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ank\My%20Documents\userdata\Legislation%20&amp;%20EHS\RG%20depots%20jaa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sie-bu3\dfi\windows\TEMP\INPUT%20NEW%20aj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SWE%20Credit%20Rating%20Graph%206_28_00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microsoft.com/office/2019/04/relationships/externalLinkLongPath" Target="file:///P:\Documents%20and%20Settings\azaratec\Configuraci&#243;n%20local\Archivos%20temporales%20de%20Internet\OLK30\Documents%20and%20Settings\JSS\Configuraci&#243;n%20local\Archivos%20temporales%20de%20Internet\OLK16\Estudios%20econ&#243;micos\SAE\SEP\construcci&#243;n\1999\asfalto-barras.xls?09FE0B2E" TargetMode="External"/><Relationship Id="rId1" Type="http://schemas.openxmlformats.org/officeDocument/2006/relationships/externalLinkPath" Target="file:///\\09FE0B2E\asfalto-barra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2_DNRMT\ESTUDIOS\PROVI\GRAL\CUADROS\C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SNA1\PROJETOS\MESA\Caixa\offshore\Curve%20Comparison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Startup" Target="Middle%20Office/Geral/Indicadores%20Financeiros/Indicadores%20Economico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Startup" Target="Front%20Office/Caixa/Benchmark/Benchmark%20BLPV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swva04\op_mp_apr$\Meus%20documentos\Apsis\AmBev\177rj01%20-%20anexo%2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onsulta%20SAE\Hidrocarburos\Precios%20y%20cotizaciones\PRECIO%20PETROLEO%20CRUDO%20WTI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m.tpi.net/DATA/EXDATA/CPEXP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IDOR1_DNRMT\ESTUDIOS\PROVI\GRAL\CUADROS\C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PP\SIV\TAXES\DOSSIERS\10188294.67\0350\DOSSIER.XLA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TEMP\Estudios%20econ&#243;micos\SAE\SEP\construcci&#243;n\1999\asfalto-barra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ADMINI~2\CONFIG~1\Temp\prueba%20Rem%20y%20carg%20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411%20Impuesto%20al%20Valor%20Agregado%2031.12.04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220%20Remuneraciones%20y%20cargas%20sociales%20-%20KCAR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heuserbuschinbev-my.sharepoint.com/personal/ioanna_chatzieffraimidou_ab-inbev_com/Documents/Desktop/December%20closing/Worksheet%20in%206230%20Revision%20de%20las%20DDJJ%20Ene%20a%20May%200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bsus232\49local\CoFinSrv\2008%20FLASH%20-%20JV\3-yr%20Plan%20(C08)\CY08%203-yr%20plan%20MODEL_IFR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FinSrv\2008%20Flash\11_2008%20February\11-2008%20FLAS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은행"/>
      <sheetName val="양식"/>
      <sheetName val="총괄"/>
      <sheetName val="가리봉pro"/>
      <sheetName val="복합pro"/>
      <sheetName val="연립pro"/>
      <sheetName val="부산1pro"/>
      <sheetName val="경상집계"/>
      <sheetName val="경상총괄"/>
      <sheetName val="수지총괄"/>
      <sheetName val="수지집계"/>
      <sheetName val="양도손익"/>
      <sheetName val="양도손익총괄"/>
      <sheetName val="양도수지집계"/>
      <sheetName val="양도수지총괄"/>
      <sheetName val="부산2pro"/>
      <sheetName val="석관pro"/>
      <sheetName val="수원pro"/>
      <sheetName val="은행pro"/>
      <sheetName val="잠원PRO"/>
      <sheetName val="홍은pro"/>
      <sheetName val="원주pro"/>
      <sheetName val="이천pro"/>
      <sheetName val="창현pro"/>
      <sheetName val="춘천pro"/>
      <sheetName val="오남2차pro"/>
      <sheetName val="창신PRO"/>
      <sheetName val="서곡PRO"/>
      <sheetName val="연성pro"/>
      <sheetName val="팔달pro"/>
      <sheetName val="병점PRO"/>
      <sheetName val="잠원"/>
      <sheetName val="가리봉동"/>
      <sheetName val="석관"/>
      <sheetName val="홍은"/>
      <sheetName val="이천"/>
      <sheetName val="부산"/>
      <sheetName val="부산2"/>
      <sheetName val="창현"/>
      <sheetName val="수원"/>
      <sheetName val="TO Data Base"/>
      <sheetName val="YTD Summary"/>
      <sheetName val="Month Summary"/>
      <sheetName val="Trial Balance MAY 2009"/>
      <sheetName val="TB Pivot"/>
      <sheetName val="Freight"/>
      <sheetName val="Freight-loc"/>
      <sheetName val="Freight-Mat"/>
      <sheetName val="Rebates"/>
      <sheetName val="total per LB LB2"/>
      <sheetName val="Trial Balance Vlookup"/>
      <sheetName val="Trial Balance APRIL 2009"/>
      <sheetName val="Lists"/>
      <sheetName val="Step2_Correlation"/>
      <sheetName val="Step2_Histogram"/>
      <sheetName val="Roll Out_AQ"/>
      <sheetName val="DePara"/>
      <sheetName val="2004"/>
      <sheetName val="손익기01"/>
      <sheetName val="VPO"/>
      <sheetName val="Evolução mandamentos"/>
      <sheetName val="目录"/>
      <sheetName val="Planilha resultados"/>
      <sheetName val="Custos"/>
      <sheetName val="Prod"/>
      <sheetName val="Eficiencia"/>
      <sheetName val="Tabelas"/>
      <sheetName val="Historico 2003"/>
      <sheetName val="BH"/>
      <sheetName val="Ferias"/>
      <sheetName val="Sig Cycles_Accts &amp; Processes"/>
      <sheetName val="TO_Data_Base"/>
      <sheetName val="YTD_Summary"/>
      <sheetName val="Month_Summary"/>
      <sheetName val="Trial_Balance_MAY_2009"/>
      <sheetName val="TB_Pivot"/>
      <sheetName val="total_per_LB_LB2"/>
      <sheetName val="Trial_Balance_Vlookup"/>
      <sheetName val="Trial_Balance_APRIL_2009"/>
      <sheetName val="Roll_Out_AQ"/>
      <sheetName val="Evolução_mandamentos"/>
      <sheetName val="Production_REP_CURR"/>
      <sheetName val="Gauge"/>
      <sheetName val="Dropdownlists"/>
      <sheetName val="Tabs"/>
      <sheetName val="padajuća_lista"/>
      <sheetName val="Controls_data"/>
      <sheetName val="Assiduidade"/>
      <sheetName val="Fixed ZBB"/>
      <sheetName val="TO_Data_Base1"/>
      <sheetName val="STARTSHEET"/>
      <sheetName val="Base_PEF2"/>
      <sheetName val="CADASTRO"/>
      <sheetName val="dados"/>
      <sheetName val="DIST"/>
      <sheetName val="MALHAD"/>
      <sheetName val="MUG"/>
      <sheetName val="packages"/>
      <sheetName val="Curve"/>
      <sheetName val="PUXADIA"/>
      <sheetName val="Controls_data2"/>
      <sheetName val="E 法规NC"/>
      <sheetName val="KPI与VIC"/>
      <sheetName val="Sound9월"/>
      <sheetName val="3 ISo YTD"/>
      <sheetName val="Données LMU"/>
      <sheetName val="Brazil Sovereign"/>
      <sheetName val="GuV"/>
      <sheetName val="Resumen Costo"/>
      <sheetName val="TO_Data_Base3"/>
      <sheetName val="YTD_Summary3"/>
      <sheetName val="Month_Summary3"/>
      <sheetName val="Trial_Balance_MAY_20093"/>
      <sheetName val="TB_Pivot3"/>
      <sheetName val="total_per_LB_LB23"/>
      <sheetName val="Trial_Balance_Vlookup3"/>
      <sheetName val="Trial_Balance_APRIL_20093"/>
      <sheetName val="Evolução_mandamentos3"/>
      <sheetName val="Roll_Out_AQ3"/>
      <sheetName val="Planilha_resultados2"/>
      <sheetName val="Historico_20032"/>
      <sheetName val="Sig_Cycles_Accts_&amp;_Processes2"/>
      <sheetName val="YTD_Summary1"/>
      <sheetName val="Month_Summary1"/>
      <sheetName val="Trial_Balance_MAY_20091"/>
      <sheetName val="TB_Pivot1"/>
      <sheetName val="total_per_LB_LB21"/>
      <sheetName val="Trial_Balance_Vlookup1"/>
      <sheetName val="Trial_Balance_APRIL_20091"/>
      <sheetName val="Evolução_mandamentos1"/>
      <sheetName val="Roll_Out_AQ1"/>
      <sheetName val="Planilha_resultados"/>
      <sheetName val="Historico_2003"/>
      <sheetName val="Sig_Cycles_Accts_&amp;_Processes"/>
      <sheetName val="Feriados"/>
      <sheetName val="Crit"/>
      <sheetName val="Unidades_SAC-REVENDA1"/>
      <sheetName val="Engine"/>
      <sheetName val="REALxMETA_-_CERVEJA"/>
      <sheetName val="menu"/>
      <sheetName val="Principal"/>
      <sheetName val="PM"/>
      <sheetName val="Empresas"/>
      <sheetName val="REALxMETA_-_CERVEJA1"/>
      <sheetName val="Validate"/>
      <sheetName val="Premissas"/>
      <sheetName val="CDI"/>
      <sheetName val="Setup"/>
      <sheetName val="M-Quest"/>
      <sheetName val="Dev_SAC_"/>
      <sheetName val="Fab2"/>
      <sheetName val="Data"/>
      <sheetName val="MêsBase"/>
      <sheetName val="PREVISÃO"/>
      <sheetName val="12_1"/>
      <sheetName val="CVsku"/>
      <sheetName val="Financials"/>
      <sheetName val="Assumptions"/>
      <sheetName val="Plan3"/>
      <sheetName val="Anual"/>
      <sheetName val="fabricas"/>
      <sheetName val="Fab"/>
      <sheetName val="Plan1"/>
      <sheetName val="FRA"/>
      <sheetName val="COUPOM"/>
      <sheetName val="Sheet1"/>
      <sheetName val="Brainstorming1"/>
      <sheetName val="aux"/>
      <sheetName val="Set_Up1"/>
      <sheetName val="BD"/>
      <sheetName val="Listas"/>
      <sheetName val="Meta"/>
      <sheetName val="Months_and_Countries"/>
      <sheetName val="Resumo"/>
      <sheetName val="Entrada_de_Dados1"/>
      <sheetName val="Projects_list"/>
      <sheetName val="Dev_Mercado"/>
      <sheetName val="Nossa_Meta"/>
      <sheetName val="Participantes"/>
      <sheetName val="EI_Calc1"/>
      <sheetName val="Controle"/>
      <sheetName val="9"/>
      <sheetName val="qyrMetas_Real"/>
      <sheetName val="REALxMETA_-_REFRI1"/>
      <sheetName val="Sispec99"/>
      <sheetName val="SispecPSAP"/>
      <sheetName val="Tab_Aux1"/>
      <sheetName val="Custo_Variável"/>
      <sheetName val="Bloomberg"/>
      <sheetName val="Dados_do_Packaging"/>
      <sheetName val="Tendência"/>
      <sheetName val="Perda_Lata"/>
      <sheetName val="Unidades_SAC-REVENDA"/>
      <sheetName val="JUNIO"/>
      <sheetName val="TO_Data_Base2"/>
      <sheetName val="YTD_Summary2"/>
      <sheetName val="Month_Summary2"/>
      <sheetName val="Trial_Balance_MAY_20092"/>
      <sheetName val="TB_Pivot2"/>
      <sheetName val="total_per_LB_LB22"/>
      <sheetName val="Trial_Balance_Vlookup2"/>
      <sheetName val="Trial_Balance_APRIL_20092"/>
      <sheetName val="Evolução_mandamentos2"/>
      <sheetName val="Roll_Out_AQ2"/>
      <sheetName val="Planilha_resultados1"/>
      <sheetName val="Historico_20031"/>
      <sheetName val="Sig_Cycles_Accts_&amp;_Processes1"/>
      <sheetName val="TO_Data_Base4"/>
      <sheetName val="YTD_Summary4"/>
      <sheetName val="Month_Summary4"/>
      <sheetName val="Trial_Balance_MAY_20094"/>
      <sheetName val="TB_Pivot4"/>
      <sheetName val="total_per_LB_LB24"/>
      <sheetName val="Trial_Balance_Vlookup4"/>
      <sheetName val="Trial_Balance_APRIL_20094"/>
      <sheetName val="Evolução_mandamentos4"/>
      <sheetName val="Roll_Out_AQ4"/>
      <sheetName val="Planilha_resultados3"/>
      <sheetName val="Historico_20033"/>
      <sheetName val="Sig_Cycles_Accts_&amp;_Processes3"/>
      <sheetName val="TO_Data_Base5"/>
      <sheetName val="YTD_Summary5"/>
      <sheetName val="Month_Summary5"/>
      <sheetName val="Trial_Balance_MAY_20095"/>
      <sheetName val="TB_Pivot5"/>
      <sheetName val="total_per_LB_LB25"/>
      <sheetName val="Trial_Balance_Vlookup5"/>
      <sheetName val="Trial_Balance_APRIL_20095"/>
      <sheetName val="Evolução_mandamentos5"/>
      <sheetName val="Roll_Out_AQ5"/>
      <sheetName val="Planilha_resultados4"/>
      <sheetName val="Historico_20034"/>
      <sheetName val="Sig_Cycles_Accts_&amp;_Processes4"/>
      <sheetName val="POA"/>
      <sheetName val="Parâmetros"/>
      <sheetName val="Base de Dados"/>
      <sheetName val="Margem_OE"/>
      <sheetName val="Extract Loss"/>
      <sheetName val="5.1"/>
      <sheetName val="QA 跟踪记录表"/>
      <sheetName val="#REF!"/>
      <sheetName val="Overview"/>
      <sheetName val="RG Depots"/>
      <sheetName val="Sheet2"/>
      <sheetName val="material data"/>
      <sheetName val="other data"/>
      <sheetName val="Como Estamos"/>
      <sheetName val="Front"/>
      <sheetName val="Database (RUR)Mar YTD"/>
      <sheetName val="参数"/>
      <sheetName val="数据"/>
      <sheetName val="Mapping"/>
      <sheetName val="SKU Mapping"/>
      <sheetName val="参数表"/>
      <sheetName val="Drop Down"/>
      <sheetName val="相关字段"/>
      <sheetName val="产品层次"/>
      <sheetName val="Drops"/>
      <sheetName val="HuNan"/>
      <sheetName val="销售组织"/>
      <sheetName val="物料类型清单"/>
      <sheetName val="评估级别"/>
      <sheetName val="Sheet3"/>
      <sheetName val="Volumen"/>
      <sheetName val="Parameters"/>
      <sheetName val="Cases"/>
      <sheetName val="Revenues"/>
      <sheetName val="Raw Data"/>
      <sheetName val="10年KPI预算"/>
      <sheetName val="数据源"/>
      <sheetName val="EBM-2 GHQ"/>
      <sheetName val="Base PEF"/>
      <sheetName val="Canal"/>
      <sheetName val="Ajustes"/>
      <sheetName val="Placas"/>
      <sheetName val="Controls data"/>
      <sheetName val="BaseDados"/>
      <sheetName val="List"/>
      <sheetName val="VIC"/>
      <sheetName val="VLC"/>
      <sheetName val="TO_Data_Base6"/>
      <sheetName val="YTD_Summary6"/>
      <sheetName val="Month_Summary6"/>
      <sheetName val="Trial_Balance_MAY_20096"/>
      <sheetName val="TB_Pivot6"/>
      <sheetName val="total_per_LB_LB26"/>
      <sheetName val="Trial_Balance_Vlookup6"/>
      <sheetName val="Trial_Balance_APRIL_20096"/>
      <sheetName val="Evolução_mandamentos6"/>
      <sheetName val="Roll_Out_AQ6"/>
      <sheetName val="Planilha_resultados5"/>
      <sheetName val="Historico_20035"/>
      <sheetName val="Sig_Cycles_Accts_&amp;_Processes5"/>
      <sheetName val="Back-up"/>
      <sheetName val="Testing Template Guidance"/>
      <sheetName val="Test Programs"/>
      <sheetName val="MOL"/>
      <sheetName val="[손익기01.XL_x0000__x0000_DePara"/>
      <sheetName val="Dados BLP"/>
      <sheetName val="核心经销商销量"/>
      <sheetName val="ValidDataDrops"/>
      <sheetName val="BLP"/>
      <sheetName val="FJJX Bud_IB"/>
      <sheetName val="DATOS"/>
      <sheetName val="JOB PROFILE - LAS"/>
      <sheetName val="ARdistr (2)"/>
      <sheetName val="Fun_Bl_Prod"/>
      <sheetName val="look-up data"/>
      <sheetName val="Tabela1"/>
      <sheetName val="producto"/>
      <sheetName val="Reasons"/>
      <sheetName val="MonthlyChart_Budget"/>
      <sheetName val="Forecast_Chart"/>
      <sheetName val="Forecast_Chart_2"/>
      <sheetName val="Monthly_Forecast"/>
      <sheetName val="MonthlyChart_Simple"/>
      <sheetName val="MonthlyChart_Sloped"/>
      <sheetName val="lookup"/>
      <sheetName val="基本信息"/>
      <sheetName val="SKU_Profile"/>
      <sheetName val="Prd.Hierarchy(产品层级)"/>
      <sheetName val="Com (2PK)"/>
      <sheetName val="SupplyChainData"/>
      <sheetName val="Project Code"/>
      <sheetName val="Base_PEF"/>
      <sheetName val="Calculos"/>
      <sheetName val="MODELO"/>
      <sheetName val="ANS-Ap_Result_2003"/>
      <sheetName val="ctmg"/>
      <sheetName val="Asset"/>
      <sheetName val="요일 테이블"/>
      <sheetName val="요일테이블"/>
      <sheetName val="요일_테이블"/>
      <sheetName val="요일 테이블 (2)"/>
      <sheetName val="Groupings"/>
      <sheetName val="cat&amp;ee"/>
      <sheetName val="источник"/>
      <sheetName val="Fixed_ZBB"/>
      <sheetName val="E_法规NC"/>
      <sheetName val="3_ISo_YTD"/>
      <sheetName val="Données_LMU"/>
      <sheetName val="Brazil_Sovereign"/>
      <sheetName val="Base_de_Dados"/>
      <sheetName val="Resumen_Costo"/>
      <sheetName val="Extract_Loss"/>
      <sheetName val="backlog"/>
      <sheetName val="TO_Data_Base7"/>
      <sheetName val="Execution"/>
      <sheetName val="Prd.Hierarchy(产品层次)"/>
      <sheetName val="Cover"/>
      <sheetName val="목차"/>
      <sheetName val="기본원칙"/>
      <sheetName val="예산전제"/>
      <sheetName val="전사 PL"/>
      <sheetName val="자금 제외 PL"/>
      <sheetName val="자금 PL"/>
      <sheetName val="전사 BS"/>
      <sheetName val="자금 제외 BS"/>
      <sheetName val="자금 BS"/>
      <sheetName val="BS 계정 설명"/>
      <sheetName val=" Cash Flow(전사)"/>
      <sheetName val=" Cash Flow(자금제외)"/>
      <sheetName val=" Cash Flow(자금)"/>
      <sheetName val="ROIC "/>
      <sheetName val="인력계획"/>
      <sheetName val="인건비 명세"/>
      <sheetName val="판관비 명세"/>
      <sheetName val="배부판관비내역"/>
      <sheetName val="OH Cost경비(내역)"/>
      <sheetName val="OH Cost경비(배부기준)"/>
      <sheetName val="기타수지&amp;특별손익 명세"/>
      <sheetName val="전사공통손익"/>
      <sheetName val="투자성경비"/>
      <sheetName val="자금계획(장단기차입금)"/>
      <sheetName val="자금계획(순지급이자)"/>
      <sheetName val="투자계획"/>
      <sheetName val="고정자산증감내역"/>
      <sheetName val="조직도"/>
      <sheetName val="9710"/>
      <sheetName val="물량"/>
      <sheetName val="노임"/>
      <sheetName val="유림골조"/>
      <sheetName val="전사_PL"/>
      <sheetName val="자금_제외_PL"/>
      <sheetName val="자금_PL"/>
      <sheetName val="전사_BS"/>
      <sheetName val="자금_제외_BS"/>
      <sheetName val="자금_BS"/>
      <sheetName val="BS_계정_설명"/>
      <sheetName val="_Cash_Flow(전사)"/>
      <sheetName val="_Cash_Flow(자금제외)"/>
      <sheetName val="_Cash_Flow(자금)"/>
      <sheetName val="ROIC_"/>
      <sheetName val="인건비_명세"/>
      <sheetName val="판관비_명세"/>
      <sheetName val="OH_Cost경비(내역)"/>
      <sheetName val="OH_Cost경비(배부기준)"/>
      <sheetName val="기타수지&amp;특별손익_명세"/>
      <sheetName val="손익분석"/>
      <sheetName val="호프"/>
      <sheetName val="01_02월_성과급"/>
      <sheetName val="업무연락 (2)"/>
      <sheetName val="제시 손익계산서"/>
      <sheetName val="제시PL(최종)"/>
      <sheetName val="제시대차대조표"/>
      <sheetName val="01.02월 성과급"/>
      <sheetName val="M_7회차 담금_계획"/>
      <sheetName val="통합손익(TGIF)"/>
      <sheetName val="통합손익"/>
      <sheetName val="_x0000__x0000_"/>
      <sheetName val="추가예산"/>
      <sheetName val="규"/>
      <sheetName val="규(3)"/>
      <sheetName val="소"/>
      <sheetName val="RE"/>
      <sheetName val="RE(2)"/>
      <sheetName val="989월실행"/>
      <sheetName val="공문"/>
      <sheetName val="_x005f_x0000__x005f_x0000_"/>
      <sheetName val="96월별PL"/>
      <sheetName val="손익(11)_수출포함"/>
      <sheetName val="예산대실적"/>
      <sheetName val="팀별 실적"/>
      <sheetName val="팀별 실적 (환산)"/>
      <sheetName val="4. Inj 투자상세내역"/>
      <sheetName val="3. Blow 투자 상세내역"/>
      <sheetName val="노임이"/>
      <sheetName val="집계확인"/>
      <sheetName val="선수금"/>
      <sheetName val="RE9604"/>
      <sheetName val="Process List"/>
      <sheetName val="공통가설"/>
      <sheetName val="수입"/>
      <sheetName val="설비등록목록"/>
      <sheetName val="7 (2)"/>
      <sheetName val="국내총괄"/>
      <sheetName val="차수"/>
      <sheetName val="특판제외"/>
      <sheetName val="건축공사실행"/>
      <sheetName val="건축원가"/>
      <sheetName val="5사남"/>
      <sheetName val="월별손익"/>
      <sheetName val="생산직"/>
      <sheetName val="재공품"/>
      <sheetName val="인사자료총집계"/>
      <sheetName val="Sheet11"/>
      <sheetName val="자바라1"/>
      <sheetName val="#REF"/>
      <sheetName val="PVM#10"/>
      <sheetName val="발생집계"/>
      <sheetName val="8월차잔"/>
      <sheetName val="저속"/>
      <sheetName val="_손익기01.XL"/>
      <sheetName val="기초자료"/>
      <sheetName val="Нарушения"/>
      <sheetName val="SKU"/>
      <sheetName val="Income Stmt"/>
      <sheetName val="drop down list"/>
      <sheetName val="TargIS"/>
      <sheetName val="전사_PL1"/>
      <sheetName val="자금_제외_PL1"/>
      <sheetName val="자금_PL1"/>
      <sheetName val="전사_BS1"/>
      <sheetName val="자금_제외_BS1"/>
      <sheetName val="자금_BS1"/>
      <sheetName val="BS_계정_설명1"/>
      <sheetName val="_Cash_Flow(전사)1"/>
      <sheetName val="_Cash_Flow(자금제외)1"/>
      <sheetName val="_Cash_Flow(자금)1"/>
      <sheetName val="ROIC_1"/>
      <sheetName val="인건비_명세1"/>
      <sheetName val="판관비_명세1"/>
      <sheetName val="OH_Cost경비(내역)1"/>
      <sheetName val="OH_Cost경비(배부기준)1"/>
      <sheetName val="기타수지&amp;특별손익_명세1"/>
      <sheetName val="업무연락_(2)"/>
      <sheetName val="제시_손익계산서"/>
      <sheetName val="01_02월_성과급1"/>
      <sheetName val="M_7회차_담금_계획"/>
      <sheetName val="팀별_실적"/>
      <sheetName val="팀별_실적_(환산)"/>
      <sheetName val="4__Inj_투자상세내역"/>
      <sheetName val="3__Blow_투자_상세내역"/>
      <sheetName val="Process_List"/>
      <sheetName val="7_(2)"/>
      <sheetName val="600ML"/>
      <sheetName val="TO_Data_Base8"/>
      <sheetName val="YTD_Summary7"/>
      <sheetName val="Month_Summary7"/>
      <sheetName val="Trial_Balance_MAY_20097"/>
      <sheetName val="TB_Pivot7"/>
      <sheetName val="total_per_LB_LB27"/>
      <sheetName val="Trial_Balance_Vlookup7"/>
      <sheetName val="Trial_Balance_APRIL_20097"/>
      <sheetName val="Roll_Out_AQ7"/>
      <sheetName val="Evolução_mandamentos7"/>
      <sheetName val="Planilha_resultados6"/>
      <sheetName val="Historico_20036"/>
      <sheetName val="Sig_Cycles_Accts_&amp;_Processes6"/>
      <sheetName val="Como_Estamos"/>
      <sheetName val="ARdistr_(2)"/>
      <sheetName val="QA_跟踪记录表"/>
      <sheetName val="5_1"/>
      <sheetName val="Controls_data1"/>
      <sheetName val="RG_Depots"/>
      <sheetName val="material_data"/>
      <sheetName val="other_data"/>
      <sheetName val="Database_(RUR)Mar_YTD"/>
      <sheetName val="SKU_Mapping"/>
      <sheetName val="Drop_Down"/>
      <sheetName val="Raw_Data"/>
      <sheetName val="EBM-2_GHQ"/>
      <sheetName val="Testing_Template_Guidance"/>
      <sheetName val="Test_Programs"/>
      <sheetName val="Dados_BLP"/>
      <sheetName val="[손익기01_XLDePara"/>
      <sheetName val="Tablas"/>
      <sheetName val="양식(직판용)"/>
      <sheetName val="JOB_PROFILE_-_LAS"/>
      <sheetName val="[손익기01.XL_x005f_x0000__x005f_x0000_DePara"/>
      <sheetName val="ES部行动跟踪记录"/>
      <sheetName val="[손익기01.XL"/>
      <sheetName val="Quarterly LBO Model"/>
      <sheetName val="Figures Report"/>
      <sheetName val="_손익기01.XL_x005f_x0000__x005f_x0000_DePara"/>
      <sheetName val="Set Up"/>
      <sheetName val="CONFIG"/>
      <sheetName val="15년 BL 사계"/>
      <sheetName val="품종별월계"/>
      <sheetName val="예적금"/>
      <sheetName val="986월원안"/>
      <sheetName val="오승"/>
      <sheetName val="Macro1"/>
      <sheetName val="Sheet9"/>
      <sheetName val="팀별"/>
      <sheetName val="병"/>
      <sheetName val="목표세부명세"/>
      <sheetName val="자금추정"/>
      <sheetName val="콘도손익"/>
      <sheetName val="장림"/>
      <sheetName val="장림전제"/>
      <sheetName val="VXXX"/>
      <sheetName val="VXXXXX"/>
      <sheetName val="II손익관리"/>
      <sheetName val="1.종합손익(도급)"/>
      <sheetName val="1.종합손익(주택,개발)"/>
      <sheetName val="2.실행예산"/>
      <sheetName val="2.2과부족"/>
      <sheetName val="2.3원가절감"/>
      <sheetName val="8.외주비집행현황"/>
      <sheetName val="9.자재비"/>
      <sheetName val="10.현장집행"/>
      <sheetName val="3.추가원가"/>
      <sheetName val="3.추가원가 (2)"/>
      <sheetName val="4.사전공사"/>
      <sheetName val="5.추정공사비"/>
      <sheetName val="6.금융비용"/>
      <sheetName val="7.공사비집행현황(총괄)"/>
      <sheetName val="11.1생산성"/>
      <sheetName val="인력대비(정직)"/>
      <sheetName val="11.2인원산출"/>
      <sheetName val="Sheet18"/>
      <sheetName val="Sheet19"/>
      <sheetName val="Sheet20"/>
      <sheetName val="Sheet21"/>
      <sheetName val="Sheet22"/>
      <sheetName val="Sheet23"/>
      <sheetName val="Sheet24"/>
      <sheetName val="Sheet25"/>
      <sheetName val="Sheet26"/>
      <sheetName val="Sheet27"/>
      <sheetName val="Sheet28"/>
      <sheetName val="Sheet29"/>
      <sheetName val="Sheet30"/>
      <sheetName val="Sheet31"/>
      <sheetName val="Sheet32"/>
      <sheetName val="Sheet33"/>
      <sheetName val="Sheet34"/>
      <sheetName val="Sheet35"/>
      <sheetName val="Sheet36"/>
      <sheetName val="Sheet37"/>
      <sheetName val="Sheet38"/>
      <sheetName val="Sheet39"/>
      <sheetName val="Sheet40"/>
      <sheetName val="입찰안"/>
      <sheetName val="첨부1"/>
      <sheetName val="간접"/>
      <sheetName val="집계표"/>
      <sheetName val="관로내역원"/>
      <sheetName val="SUMMARY"/>
      <sheetName val="PAINT"/>
      <sheetName val="손익"/>
      <sheetName val="현금흐름"/>
      <sheetName val="A4288"/>
      <sheetName val="CTEMCOST"/>
      <sheetName val="ELECTRIC"/>
      <sheetName val="C-A(취합)파리"/>
      <sheetName val="SG"/>
      <sheetName val="수정시산표"/>
      <sheetName val="주택"/>
      <sheetName val="주택(백만원)"/>
      <sheetName val="COL"/>
      <sheetName val="전계가"/>
      <sheetName val="동선(을)"/>
      <sheetName val="신공항A-9(원가수정)"/>
      <sheetName val="KUNGDEVI"/>
      <sheetName val="그래프"/>
      <sheetName val="GDP"/>
      <sheetName val="부문인원3"/>
      <sheetName val="5Traffic1"/>
      <sheetName val="원가계산서"/>
      <sheetName val="금액내역서"/>
      <sheetName val="실행내역"/>
      <sheetName val="시멘트"/>
      <sheetName val="설계내역서"/>
      <sheetName val="예가표"/>
      <sheetName val="현장관리비"/>
      <sheetName val="공사개요"/>
      <sheetName val="Action-Log"/>
      <sheetName val="Classification 分类"/>
      <sheetName val="Fare prices"/>
      <sheetName val="Hotel prices"/>
      <sheetName val="TO_Data_Base9"/>
      <sheetName val="YTD_Summary8"/>
      <sheetName val="Month_Summary8"/>
      <sheetName val="Trial_Balance_MAY_20098"/>
      <sheetName val="TB_Pivot8"/>
      <sheetName val="total_per_LB_LB28"/>
      <sheetName val="Trial_Balance_Vlookup8"/>
      <sheetName val="Trial_Balance_APRIL_20098"/>
      <sheetName val="Roll_Out_AQ8"/>
      <sheetName val="Evolução_mandamentos8"/>
      <sheetName val="Planilha_resultados7"/>
      <sheetName val="Historico_20037"/>
      <sheetName val="Sig_Cycles_Accts_&amp;_Processes7"/>
      <sheetName val="Como_Estamos1"/>
      <sheetName val="Fixed_ZBB1"/>
      <sheetName val="3_ISo_YTD1"/>
      <sheetName val="E_法规NC1"/>
      <sheetName val="Données_LMU1"/>
      <sheetName val="Brazil_Sovereign1"/>
      <sheetName val="Resumen_Costo1"/>
      <sheetName val="Extract_Loss1"/>
      <sheetName val="ARdistr_(2)1"/>
      <sheetName val="Base_de_Dados1"/>
      <sheetName val="QA_跟踪记录表1"/>
      <sheetName val="5_11"/>
      <sheetName val="Controls_data3"/>
      <sheetName val="RG_Depots1"/>
      <sheetName val="material_data1"/>
      <sheetName val="other_data1"/>
      <sheetName val="Database_(RUR)Mar_YTD1"/>
      <sheetName val="SKU_Mapping1"/>
      <sheetName val="Drop_Down1"/>
      <sheetName val="Raw_Data1"/>
      <sheetName val="EBM-2_GHQ1"/>
      <sheetName val="Base_PEF1"/>
      <sheetName val="Testing_Template_Guidance1"/>
      <sheetName val="Test_Programs1"/>
      <sheetName val="Dados_BLP1"/>
      <sheetName val="FJJX_Bud_IB"/>
      <sheetName val="look-up_data"/>
      <sheetName val="요일_테이블1"/>
      <sheetName val="요일_테이블_(2)"/>
      <sheetName val="Prd_Hierarchy(产品层级)"/>
      <sheetName val="Com_(2PK)"/>
      <sheetName val="Tab"/>
      <sheetName val="Arm_PNP"/>
      <sheetName val="cl"/>
      <sheetName val="XLRpt_TempSheet"/>
      <sheetName val="Suporte_2"/>
      <sheetName val="tab STATUS DO PROCESSO "/>
      <sheetName val="Intro"/>
      <sheetName val="Results"/>
      <sheetName val="DropDowns"/>
      <sheetName val="CPT倒罐记录"/>
      <sheetName val="Perf. Plan. Diário1"/>
      <sheetName val="In (2)"/>
      <sheetName val="감독1130"/>
      <sheetName val="  한국 AMP ASP-23 판매가격  "/>
      <sheetName val="장기대여금1"/>
      <sheetName val="CC Down load 0716"/>
      <sheetName val="화물2팀"/>
      <sheetName val="외주수리비"/>
      <sheetName val="계류장사용료"/>
      <sheetName val="정비재료비"/>
      <sheetName val="지상조업료"/>
      <sheetName val="AT"/>
      <sheetName val="B777"/>
      <sheetName val="신공항"/>
      <sheetName val="JJ"/>
      <sheetName val="잡유비"/>
      <sheetName val="MA"/>
      <sheetName val="MC"/>
      <sheetName val="ME"/>
      <sheetName val="MF"/>
      <sheetName val="MI"/>
      <sheetName val="MT"/>
      <sheetName val="QA"/>
      <sheetName val="변경실행(2차) "/>
      <sheetName val="bm(CIcable)"/>
      <sheetName val="01"/>
      <sheetName val="내역"/>
      <sheetName val="유동성사채"/>
      <sheetName val="나.출고"/>
      <sheetName val="나.입고"/>
      <sheetName val="금융"/>
      <sheetName val="결재인"/>
      <sheetName val="단가"/>
      <sheetName val="3계정별(고속)"/>
      <sheetName val="고속"/>
      <sheetName val="고속목표"/>
      <sheetName val="09년인건비(고속)"/>
      <sheetName val="3계정별(자동주유기)"/>
      <sheetName val="자동주유기"/>
      <sheetName val="자동주유목표"/>
      <sheetName val="고속합산"/>
      <sheetName val="고속합산목표"/>
      <sheetName val="3계정별(속리산)"/>
      <sheetName val="속리산"/>
      <sheetName val="속리산목표"/>
      <sheetName val="09년 인건비(속리산)"/>
      <sheetName val="고속속리산"/>
      <sheetName val="고속속리산목표"/>
      <sheetName val="직행"/>
      <sheetName val="직행목표"/>
      <sheetName val="합산"/>
      <sheetName val="합산목표"/>
      <sheetName val="속리산제외"/>
      <sheetName val="속리산제외목표"/>
      <sheetName val="09년월별예산(운송)"/>
      <sheetName val="합산목표(감가+57.5)"/>
      <sheetName val="감가상각"/>
      <sheetName val="산근"/>
      <sheetName val="상각스케쥴(조정)"/>
      <sheetName val="공통비총괄표"/>
      <sheetName val="Variables"/>
      <sheetName val="제조원가 원단위 분석"/>
      <sheetName val="종합표양식(품의 &amp; 입고)_2"/>
      <sheetName val="공사비집계"/>
      <sheetName val="APT"/>
      <sheetName val="SCHEDULE"/>
      <sheetName val="JUCKEYK"/>
      <sheetName val="노임단가"/>
      <sheetName val="982월원안"/>
      <sheetName val="여흥"/>
      <sheetName val="원가관리 (동월대비)"/>
      <sheetName val="45,46"/>
      <sheetName val="요약"/>
      <sheetName val="방배동내역(리라)"/>
      <sheetName val="금융비용"/>
      <sheetName val="총괄내역서"/>
      <sheetName val="내역서"/>
      <sheetName val="TR제작사양"/>
      <sheetName val="익월수주전망"/>
      <sheetName val="980731"/>
      <sheetName val="광곡세부내역"/>
      <sheetName val="실적공사"/>
      <sheetName val="업무처리전"/>
      <sheetName val="2연암거"/>
      <sheetName val="경사수로집계표"/>
      <sheetName val="경사수로"/>
      <sheetName val="진입교량"/>
      <sheetName val="시산표(매출조정전)"/>
      <sheetName val="b_balju (2)"/>
      <sheetName val="b_gunmul"/>
      <sheetName val="S&amp;R"/>
      <sheetName val="93"/>
      <sheetName val="2-2.매출분석"/>
      <sheetName val="RECIMAKE"/>
      <sheetName val="woo(mac)"/>
      <sheetName val="견적의뢰"/>
      <sheetName val="예정(3)"/>
      <sheetName val="동원(3)"/>
      <sheetName val="토목검측서"/>
      <sheetName val="A-100전제"/>
      <sheetName val="몰드시스템 리스트"/>
      <sheetName val="정비손익"/>
      <sheetName val="200"/>
      <sheetName val="정산표"/>
      <sheetName val="월말명세0912"/>
      <sheetName val="11.외화채무증권(AFS,HTM)08"/>
      <sheetName val="Hedge09"/>
      <sheetName val="13.감액TEST_08"/>
      <sheetName val="해외채권"/>
      <sheetName val="BS09"/>
      <sheetName val="Calen"/>
      <sheetName val="Borrower"/>
      <sheetName val="MIBK원단위"/>
      <sheetName val="Proposal"/>
      <sheetName val="중요02월25일"/>
      <sheetName val="단가추이"/>
      <sheetName val="경유량추이"/>
      <sheetName val="역T형"/>
      <sheetName val="기계경비(시간당)"/>
      <sheetName val="램머"/>
      <sheetName val="수주현황2월"/>
      <sheetName val="입찰내역서"/>
      <sheetName val="평가제외"/>
      <sheetName val="SM1-09"/>
      <sheetName val="SM2-09"/>
      <sheetName val="BD-09"/>
      <sheetName val="12년 CF(9월)"/>
      <sheetName val="기본DATA"/>
      <sheetName val="노무비"/>
      <sheetName val="Sheet13"/>
      <sheetName val="Sheet14"/>
      <sheetName val="ABUT수량-A1"/>
      <sheetName val="갑지(추정)"/>
      <sheetName val="중기조종사 단위단가"/>
      <sheetName val="6PILE  (돌출)"/>
      <sheetName val="기성청구 공문"/>
      <sheetName val="IW-LIST"/>
      <sheetName val="화의-현금흐름"/>
      <sheetName val="SO416"/>
      <sheetName val="개발비자산성검토"/>
      <sheetName val="가공MH"/>
      <sheetName val="08년(Form1)"/>
      <sheetName val="1_종합손익(도급)"/>
      <sheetName val="1_종합손익(주택,개발)"/>
      <sheetName val="2_실행예산"/>
      <sheetName val="2_2과부족"/>
      <sheetName val="2_3원가절감"/>
      <sheetName val="8_외주비집행현황"/>
      <sheetName val="9_자재비"/>
      <sheetName val="10_현장집행"/>
      <sheetName val="3_추가원가"/>
      <sheetName val="3_추가원가_(2)"/>
      <sheetName val="4_사전공사"/>
      <sheetName val="5_추정공사비"/>
      <sheetName val="6_금융비용"/>
      <sheetName val="7_공사비집행현황(총괄)"/>
      <sheetName val="11_1생산성"/>
      <sheetName val="11_2인원산출"/>
      <sheetName val="실행철강하도"/>
      <sheetName val="일위대가표"/>
      <sheetName val="단가산출"/>
      <sheetName val="13월별BS"/>
      <sheetName val="집행내역"/>
      <sheetName val="공통부대관리"/>
      <sheetName val="MIJIBI"/>
      <sheetName val="Sheet1 (2)"/>
      <sheetName val="A-4"/>
      <sheetName val="하수급견적대비"/>
      <sheetName val="CLASIFICACION DE AI"/>
      <sheetName val="Base da Datos"/>
      <sheetName val="Apoio"/>
      <sheetName val="extent"/>
      <sheetName val="slide 24 cat A"/>
      <sheetName val="slide 82 cat b"/>
      <sheetName val="Dados dos Produtos"/>
      <sheetName val="One_Pager"/>
      <sheetName val="DE-PARA"/>
      <sheetName val="FornecD"/>
      <sheetName val="FornecDAjustado"/>
      <sheetName val="Maestro"/>
      <sheetName val="Base de Datos"/>
      <sheetName val="Motivos"/>
      <sheetName val="Parametros"/>
      <sheetName val="code"/>
      <sheetName val="Formula"/>
      <sheetName val="전사_PL2"/>
      <sheetName val="자금_제외_PL2"/>
      <sheetName val="자금_PL2"/>
      <sheetName val="전사_BS2"/>
      <sheetName val="자금_제외_BS2"/>
      <sheetName val="자금_BS2"/>
      <sheetName val="BS_계정_설명2"/>
      <sheetName val="_Cash_Flow(전사)2"/>
      <sheetName val="_Cash_Flow(자금제외)2"/>
      <sheetName val="_Cash_Flow(자금)2"/>
      <sheetName val="ROIC_2"/>
      <sheetName val="인건비_명세2"/>
      <sheetName val="판관비_명세2"/>
      <sheetName val="OH_Cost경비(내역)2"/>
      <sheetName val="OH_Cost경비(배부기준)2"/>
      <sheetName val="기타수지&amp;특별손익_명세2"/>
      <sheetName val="업무연락_(2)1"/>
      <sheetName val="제시_손익계산서1"/>
      <sheetName val="01_02월_성과급2"/>
      <sheetName val="M_7회차_담금_계획1"/>
      <sheetName val="팀별_실적1"/>
      <sheetName val="팀별_실적_(환산)1"/>
      <sheetName val="4__Inj_투자상세내역1"/>
      <sheetName val="3__Blow_투자_상세내역1"/>
      <sheetName val="Process_List1"/>
      <sheetName val="7_(2)1"/>
      <sheetName val="JOB_PROFILE_-_LAS1"/>
      <sheetName val="15년_BL_사계"/>
      <sheetName val="Prd_Hierarchy(产品层次)"/>
      <sheetName val="Project_Code"/>
      <sheetName val="_손익기01_XL"/>
      <sheetName val="drop_down_list"/>
      <sheetName val="[손익기01_XL_x005f_x0000__x005f_x0000_DePara"/>
      <sheetName val="Income_Stmt"/>
      <sheetName val="Quarterly_LBO_Model"/>
      <sheetName val="_손익기01_XL_x005f_x0000__x005f_x0000_DePara"/>
      <sheetName val="[손익기01_XL"/>
      <sheetName val="97실적"/>
      <sheetName val="을지"/>
      <sheetName val="npv"/>
      <sheetName val="13손익(실적)"/>
      <sheetName val="RV미수수익보정"/>
      <sheetName val="불균등-거치외(미수)"/>
      <sheetName val="불균등-TOP(선수)"/>
      <sheetName val="09~10년 매출계획"/>
      <sheetName val="법인구분"/>
      <sheetName val="기초코드"/>
      <sheetName val="1.MDF1공장"/>
      <sheetName val="97년"/>
      <sheetName val="출입자명단"/>
      <sheetName val="이름표시"/>
      <sheetName val="SAM"/>
      <sheetName val="Prog"/>
      <sheetName val="PLANNER6"/>
      <sheetName val="Hoja2"/>
      <sheetName val="Hoja3"/>
      <sheetName val="범주"/>
      <sheetName val="Incident 유형구분표"/>
      <sheetName val="DAG"/>
      <sheetName val="3YP2016-Bottom up"/>
      <sheetName val="DD list"/>
      <sheetName val="Resumen"/>
      <sheetName val="Detalle"/>
      <sheetName val="auxiliar"/>
      <sheetName val="Package-SubPackage"/>
      <sheetName val="Supply Cost Centers"/>
      <sheetName val="Basetables"/>
      <sheetName val="목록"/>
      <sheetName val="Macro"/>
      <sheetName val="광주"/>
      <sheetName val="TNC(1안)"/>
      <sheetName val="link"/>
      <sheetName val="Vol-Rev"/>
      <sheetName val="Actionlog"/>
      <sheetName val="_손익기01.XL_x0000__x0000_DePara"/>
      <sheetName val="_손익기01_XLDePara"/>
      <sheetName val="来源"/>
      <sheetName val="2 카드채권(대출포함)"/>
      <sheetName val="부서별12월추계액"/>
      <sheetName val="월별수입"/>
      <sheetName val="담보"/>
      <sheetName val="1유리"/>
      <sheetName val="매출"/>
      <sheetName val="97년추정손익계산서"/>
      <sheetName val="表21 净利润调节表"/>
      <sheetName val="Cond. Inseguros"/>
      <sheetName val="Comp. Inseguros"/>
      <sheetName val="Lista de datos"/>
      <sheetName val="MASTER APP"/>
      <sheetName val="Hoja1"/>
      <sheetName val="Clasif."/>
      <sheetName val="BBDD"/>
      <sheetName val="Farol Acciones"/>
      <sheetName val="Lista de Entrenamientos"/>
      <sheetName val="DropList"/>
      <sheetName val="Unidades SAC-REVENDA"/>
      <sheetName val="FornecM Check"/>
      <sheetName val="Lista CI"/>
      <sheetName val="Estatus"/>
      <sheetName val="Info"/>
      <sheetName val="Estratificación AI"/>
      <sheetName val="Dashboard"/>
      <sheetName val="condicion inseguras"/>
      <sheetName val="Actos Inseguros"/>
      <sheetName val="Control de incidentes"/>
      <sheetName val="Plan de Acción"/>
      <sheetName val="隐患分析"/>
      <sheetName val="安全隐患"/>
      <sheetName val="各支柱模块清单"/>
      <sheetName val=" DD List"/>
      <sheetName val="Share Price 2002"/>
      <sheetName val="뒤차축소"/>
      <sheetName val="96PAYC"/>
      <sheetName val="班组分析"/>
      <sheetName val="源"/>
      <sheetName val="Issues List_Payments"/>
      <sheetName val="전기"/>
      <sheetName val="BEP 加薪 KPI"/>
      <sheetName val="ACTION"/>
      <sheetName val="PREMISAS"/>
      <sheetName val="유형(분류표)"/>
      <sheetName val="LE"/>
      <sheetName val="Catalog_Zone"/>
      <sheetName val="Faro de Indicadores"/>
      <sheetName val="TOP KPIs MTM"/>
      <sheetName val="PLAN DE ACCION"/>
      <sheetName val="ORGANIGRAMA"/>
      <sheetName val="Grafica Actos"/>
      <sheetName val="PGK-1610"/>
      <sheetName val="POC LIST"/>
      <sheetName val="INDICE"/>
      <sheetName val="Dashboard Prevención Riesgos "/>
      <sheetName val="Seguimiento"/>
      <sheetName val="表3筛选项"/>
      <sheetName val="do not delete"/>
      <sheetName val="NA"/>
      <sheetName val="MidAm"/>
      <sheetName val="LAN"/>
      <sheetName val="LAS"/>
      <sheetName val="COPEC"/>
      <sheetName val="EUR"/>
      <sheetName val="Africa"/>
      <sheetName val="APAC S"/>
      <sheetName val="APAC N"/>
      <sheetName val="Slide output"/>
      <sheetName val="[손익기01.XL??DePara"/>
      <sheetName val="??"/>
      <sheetName val="Farol Metas"/>
      <sheetName val="Preview2"/>
      <sheetName val="Agenda"/>
      <sheetName val="Cadastros"/>
      <sheetName val="Base_Cobertura_WP"/>
      <sheetName val="TOTAL_HL"/>
      <sheetName val="99"/>
      <sheetName val="BASE_APOIO"/>
      <sheetName val="AO"/>
      <sheetName val="2"/>
      <sheetName val="BG"/>
      <sheetName val="Farol"/>
      <sheetName val="Base_Farol_Manual_Consolidada"/>
      <sheetName val="Input"/>
      <sheetName val="Árvore"/>
      <sheetName val="Tela_Inicial"/>
      <sheetName val="XLR_NoRangeSheet"/>
      <sheetName val="GVs"/>
      <sheetName val="Cadastro_Comercial"/>
      <sheetName val="2-Instalações"/>
      <sheetName val="RESUMO_MC"/>
      <sheetName val="Organization"/>
      <sheetName val="EMPREGADOS"/>
      <sheetName val="4-Estrutura_da_Área_de_Vendas"/>
      <sheetName val="5-Vendas-5_4-5_5-5_6"/>
      <sheetName val="FE"/>
      <sheetName val="BD_-_Realizado"/>
      <sheetName val="Cadastro_de_Veículos"/>
      <sheetName val="3-Equipamentos_e_Meios"/>
      <sheetName val="Cálculo_TMEF-TMR"/>
      <sheetName val="Liberação_Juros_Set_2004"/>
      <sheetName val="Lista_de_Feriados"/>
      <sheetName val="BASE"/>
      <sheetName val="Base_Graf"/>
      <sheetName val="Aderencia_Algoritmo_SIV"/>
      <sheetName val="Árvore_3v"/>
      <sheetName val="Sistema"/>
      <sheetName val="Dados_Dev"/>
      <sheetName val="Cxs_Int"/>
      <sheetName val="Pilares"/>
      <sheetName val="IC's"/>
      <sheetName val="Rel_Histórico"/>
      <sheetName val="TMEF_-_TMR_151"/>
      <sheetName val="Entrada_de_Dados"/>
      <sheetName val="EI_Calc"/>
      <sheetName val="Produtos"/>
      <sheetName val="PV"/>
      <sheetName val="Base_Críticas_de_Pedidos"/>
      <sheetName val="REALxMETA_-_REFRI"/>
      <sheetName val="Planificador"/>
      <sheetName val="8-Procedimentos"/>
      <sheetName val="Gráfico_3"/>
      <sheetName val="Gráfico"/>
      <sheetName val="Gráfico_Anual"/>
      <sheetName val="GR"/>
      <sheetName val="Tabela_Preço"/>
      <sheetName val="Tab_Aux"/>
      <sheetName val="Produtos_e_Custos"/>
      <sheetName val="TI"/>
      <sheetName val="Plan2"/>
      <sheetName val="BASE_GV"/>
      <sheetName val="Matriz_Unidade"/>
      <sheetName val="Variavel"/>
      <sheetName val="Mod Relac."/>
      <sheetName val="Vlookup"/>
      <sheetName val="Condiciones SyE"/>
      <sheetName val="REALxMETA - CERVEJA"/>
      <sheetName val="REALxMETA - REFRI"/>
      <sheetName val="Catalogo"/>
      <sheetName val="MD"/>
      <sheetName val="Directrices de Metas 2017"/>
      <sheetName val="Data validation"/>
      <sheetName val="下拉清单"/>
      <sheetName val="工伤分类"/>
      <sheetName val="_손익기01.XL_x005f_x005f_x005f_x0000__x005f_x005f_x0"/>
      <sheetName val="Hazards Analysis-隐患分析"/>
      <sheetName val="菜单"/>
      <sheetName val="코드"/>
      <sheetName val="F08 - Asia Pac Full Year Q3"/>
      <sheetName val="Actions"/>
      <sheetName val="Listco"/>
      <sheetName val="Intl"/>
      <sheetName val="Procurement"/>
      <sheetName val="Top Priorities"/>
      <sheetName val="SLOB"/>
      <sheetName val="Listco Stock"/>
      <sheetName val="SOH"/>
      <sheetName val="Intl Purchase"/>
      <sheetName val="GTME"/>
      <sheetName val="FY outlook"/>
      <sheetName val="CY outlook"/>
      <sheetName val="FY"/>
      <sheetName val="CY"/>
      <sheetName val="Cash metrics"/>
      <sheetName val="Listco-Tony"/>
      <sheetName val="Intl-Ming"/>
      <sheetName val="Procurement-Jeff"/>
      <sheetName val="Hierarchy"/>
      <sheetName val="P6 7"/>
      <sheetName val="Top_Priorities"/>
      <sheetName val="Listco_Stock"/>
      <sheetName val="Intl_Purchase"/>
      <sheetName val="FY_outlook"/>
      <sheetName val="CY_outlook"/>
      <sheetName val="Cash_metrics"/>
      <sheetName val="F08_-_Asia_Pac_Full_Year_Q3"/>
      <sheetName val="TABLA"/>
      <sheetName val="_ExportMetadata"/>
      <sheetName val="Valor_Actual_2002"/>
      <sheetName val="Vtas2000"/>
      <sheetName val="Liquidacion_Julio_2002"/>
      <sheetName val="icos0502"/>
      <sheetName val="pplay_load3"/>
      <sheetName val="tabla_fcst_unid"/>
      <sheetName val="P6_7"/>
      <sheetName val="DATOS BASE"/>
      <sheetName val="요일_테이블3"/>
      <sheetName val="요일_테이블_(2)2"/>
      <sheetName val="TO_Data_Base11"/>
      <sheetName val="YTD_Summary10"/>
      <sheetName val="Month_Summary10"/>
      <sheetName val="Trial_Balance_MAY_200910"/>
      <sheetName val="TB_Pivot10"/>
      <sheetName val="total_per_LB_LB210"/>
      <sheetName val="Trial_Balance_Vlookup10"/>
      <sheetName val="Trial_Balance_APRIL_200910"/>
      <sheetName val="Roll_Out_AQ10"/>
      <sheetName val="Evolução_mandamentos10"/>
      <sheetName val="Planilha_resultados9"/>
      <sheetName val="Historico_20039"/>
      <sheetName val="Sig_Cycles_Accts_&amp;_Processes9"/>
      <sheetName val="Fixed_ZBB3"/>
      <sheetName val="E_法规NC3"/>
      <sheetName val="3_ISo_YTD3"/>
      <sheetName val="Données_LMU3"/>
      <sheetName val="Brazil_Sovereign3"/>
      <sheetName val="Resumen_Costo3"/>
      <sheetName val="Base_de_Dados3"/>
      <sheetName val="Extract_Loss3"/>
      <sheetName val="5_13"/>
      <sheetName val="QA_跟踪记录表3"/>
      <sheetName val="RG_Depots3"/>
      <sheetName val="material_data3"/>
      <sheetName val="other_data3"/>
      <sheetName val="Como_Estamos3"/>
      <sheetName val="Database_(RUR)Mar_YTD3"/>
      <sheetName val="SKU_Mapping3"/>
      <sheetName val="Drop_Down3"/>
      <sheetName val="Raw_Data3"/>
      <sheetName val="EBM-2_GHQ3"/>
      <sheetName val="Base_PEF4"/>
      <sheetName val="Controls_data5"/>
      <sheetName val="Dados_BLP3"/>
      <sheetName val="Testing_Template_Guidance3"/>
      <sheetName val="Test_Programs3"/>
      <sheetName val="FJJX_Bud_IB2"/>
      <sheetName val="JOB_PROFILE_-_LAS3"/>
      <sheetName val="ARdistr_(2)3"/>
      <sheetName val="look-up_data2"/>
      <sheetName val="Prd_Hierarchy(产品层级)2"/>
      <sheetName val="Com_(2PK)2"/>
      <sheetName val="전사_PL4"/>
      <sheetName val="자금_제외_PL4"/>
      <sheetName val="자금_PL4"/>
      <sheetName val="전사_BS4"/>
      <sheetName val="자금_제외_BS4"/>
      <sheetName val="자금_BS4"/>
      <sheetName val="BS_계정_설명4"/>
      <sheetName val="_Cash_Flow(전사)4"/>
      <sheetName val="_Cash_Flow(자금제외)4"/>
      <sheetName val="_Cash_Flow(자금)4"/>
      <sheetName val="ROIC_4"/>
      <sheetName val="인건비_명세4"/>
      <sheetName val="판관비_명세4"/>
      <sheetName val="OH_Cost경비(내역)4"/>
      <sheetName val="OH_Cost경비(배부기준)4"/>
      <sheetName val="기타수지&amp;특별손익_명세4"/>
      <sheetName val="업무연락_(2)3"/>
      <sheetName val="제시_손익계산서3"/>
      <sheetName val="01_02월_성과급4"/>
      <sheetName val="M_7회차_담금_계획3"/>
      <sheetName val="팀별_실적3"/>
      <sheetName val="팀별_실적_(환산)3"/>
      <sheetName val="4__Inj_투자상세내역3"/>
      <sheetName val="3__Blow_투자_상세내역3"/>
      <sheetName val="Process_List3"/>
      <sheetName val="7_(2)3"/>
      <sheetName val="Prd_Hierarchy(产品层次)2"/>
      <sheetName val="Project_Code2"/>
      <sheetName val="_손익기01_XL2"/>
      <sheetName val="drop_down_list2"/>
      <sheetName val="[손익기01_XL_x005f_x0000__x005f_x0000_DePara2"/>
      <sheetName val="Income_Stmt2"/>
      <sheetName val="Quarterly_LBO_Model2"/>
      <sheetName val="[손익기01_XL2"/>
      <sheetName val="_손익기01_XL_x005f_x0000__x005f_x0000_DePara2"/>
      <sheetName val="15년_BL_사계2"/>
      <sheetName val="1_종합손익(도급)2"/>
      <sheetName val="1_종합손익(주택,개발)2"/>
      <sheetName val="2_실행예산2"/>
      <sheetName val="2_2과부족2"/>
      <sheetName val="2_3원가절감2"/>
      <sheetName val="8_외주비집행현황2"/>
      <sheetName val="9_자재비2"/>
      <sheetName val="10_현장집행2"/>
      <sheetName val="3_추가원가2"/>
      <sheetName val="3_추가원가_(2)2"/>
      <sheetName val="4_사전공사2"/>
      <sheetName val="5_추정공사비2"/>
      <sheetName val="6_금융비용2"/>
      <sheetName val="7_공사비집행현황(총괄)2"/>
      <sheetName val="11_1생산성2"/>
      <sheetName val="11_2인원산출2"/>
      <sheetName val="Classification_分类1"/>
      <sheetName val="Figures_Report1"/>
      <sheetName val="Set_Up2"/>
      <sheetName val="Fare_prices1"/>
      <sheetName val="Hotel_prices1"/>
      <sheetName val="__한국_AMP_ASP-23_판매가격__1"/>
      <sheetName val="CC_Down_load_07161"/>
      <sheetName val="변경실행(2차)_1"/>
      <sheetName val="나_출고1"/>
      <sheetName val="나_입고1"/>
      <sheetName val="09년_인건비(속리산)1"/>
      <sheetName val="합산목표(감가+57_5)1"/>
      <sheetName val="제조원가_원단위_분석1"/>
      <sheetName val="종합표양식(품의_&amp;_입고)_21"/>
      <sheetName val="원가관리_(동월대비)1"/>
      <sheetName val="b_balju_(2)1"/>
      <sheetName val="2-2_매출분석1"/>
      <sheetName val="몰드시스템_리스트1"/>
      <sheetName val="11_외화채무증권(AFS,HTM)081"/>
      <sheetName val="13_감액TEST_081"/>
      <sheetName val="12년_CF(9월)1"/>
      <sheetName val="중기조종사_단위단가1"/>
      <sheetName val="6PILE__(돌출)1"/>
      <sheetName val="기성청구_공문1"/>
      <sheetName val="Sheet1_(2)1"/>
      <sheetName val="tab_STATUS_DO_PROCESSO_1"/>
      <sheetName val="Perf__Plan__Diário11"/>
      <sheetName val="In_(2)1"/>
      <sheetName val="slide_24_cat_A1"/>
      <sheetName val="slide_82_cat_b1"/>
      <sheetName val="09~10년_매출계획1"/>
      <sheetName val="1_MDF1공장1"/>
      <sheetName val="Incident_유형구분표1"/>
      <sheetName val="CLASIFICACION_DE_AI1"/>
      <sheetName val="Base_da_Datos1"/>
      <sheetName val="Dados_dos_Produtos1"/>
      <sheetName val="DD_list1"/>
      <sheetName val="3YP2016-Bottom_up"/>
      <sheetName val="2_카드채권(대출포함)"/>
      <sheetName val="表21_净利润调节表"/>
      <sheetName val="MASTER_APP"/>
      <sheetName val="Cond__Inseguros"/>
      <sheetName val="Comp__Inseguros"/>
      <sheetName val="Lista_de_datos"/>
      <sheetName val="Base_de_Datos"/>
      <sheetName val="_DD_List"/>
      <sheetName val="Share_Price_2002"/>
      <sheetName val="Clasif_"/>
      <sheetName val="Lista_CI"/>
      <sheetName val="Farol_Acciones"/>
      <sheetName val="Lista_de_Entrenamientos"/>
      <sheetName val="Supply_Cost_Centers"/>
      <sheetName val="요일_테이블2"/>
      <sheetName val="요일_테이블_(2)1"/>
      <sheetName val="TO_Data_Base10"/>
      <sheetName val="YTD_Summary9"/>
      <sheetName val="Month_Summary9"/>
      <sheetName val="Trial_Balance_MAY_20099"/>
      <sheetName val="TB_Pivot9"/>
      <sheetName val="total_per_LB_LB29"/>
      <sheetName val="Trial_Balance_Vlookup9"/>
      <sheetName val="Trial_Balance_APRIL_20099"/>
      <sheetName val="Roll_Out_AQ9"/>
      <sheetName val="Evolução_mandamentos9"/>
      <sheetName val="Planilha_resultados8"/>
      <sheetName val="Historico_20038"/>
      <sheetName val="Sig_Cycles_Accts_&amp;_Processes8"/>
      <sheetName val="Fixed_ZBB2"/>
      <sheetName val="E_法规NC2"/>
      <sheetName val="3_ISo_YTD2"/>
      <sheetName val="Données_LMU2"/>
      <sheetName val="Brazil_Sovereign2"/>
      <sheetName val="Resumen_Costo2"/>
      <sheetName val="Base_de_Dados2"/>
      <sheetName val="Extract_Loss2"/>
      <sheetName val="5_12"/>
      <sheetName val="QA_跟踪记录表2"/>
      <sheetName val="RG_Depots2"/>
      <sheetName val="material_data2"/>
      <sheetName val="other_data2"/>
      <sheetName val="Como_Estamos2"/>
      <sheetName val="Database_(RUR)Mar_YTD2"/>
      <sheetName val="SKU_Mapping2"/>
      <sheetName val="Drop_Down2"/>
      <sheetName val="Raw_Data2"/>
      <sheetName val="EBM-2_GHQ2"/>
      <sheetName val="Base_PEF3"/>
      <sheetName val="Controls_data4"/>
      <sheetName val="Dados_BLP2"/>
      <sheetName val="Testing_Template_Guidance2"/>
      <sheetName val="Test_Programs2"/>
      <sheetName val="FJJX_Bud_IB1"/>
      <sheetName val="JOB_PROFILE_-_LAS2"/>
      <sheetName val="ARdistr_(2)2"/>
      <sheetName val="look-up_data1"/>
      <sheetName val="Prd_Hierarchy(产品层级)1"/>
      <sheetName val="Com_(2PK)1"/>
      <sheetName val="전사_PL3"/>
      <sheetName val="자금_제외_PL3"/>
      <sheetName val="자금_PL3"/>
      <sheetName val="전사_BS3"/>
      <sheetName val="자금_제외_BS3"/>
      <sheetName val="자금_BS3"/>
      <sheetName val="BS_계정_설명3"/>
      <sheetName val="_Cash_Flow(전사)3"/>
      <sheetName val="_Cash_Flow(자금제외)3"/>
      <sheetName val="_Cash_Flow(자금)3"/>
      <sheetName val="ROIC_3"/>
      <sheetName val="인건비_명세3"/>
      <sheetName val="판관비_명세3"/>
      <sheetName val="OH_Cost경비(내역)3"/>
      <sheetName val="OH_Cost경비(배부기준)3"/>
      <sheetName val="기타수지&amp;특별손익_명세3"/>
      <sheetName val="업무연락_(2)2"/>
      <sheetName val="제시_손익계산서2"/>
      <sheetName val="01_02월_성과급3"/>
      <sheetName val="M_7회차_담금_계획2"/>
      <sheetName val="팀별_실적2"/>
      <sheetName val="팀별_실적_(환산)2"/>
      <sheetName val="4__Inj_투자상세내역2"/>
      <sheetName val="3__Blow_투자_상세내역2"/>
      <sheetName val="Process_List2"/>
      <sheetName val="7_(2)2"/>
      <sheetName val="Prd_Hierarchy(产品层次)1"/>
      <sheetName val="Project_Code1"/>
      <sheetName val="_손익기01_XL1"/>
      <sheetName val="drop_down_list1"/>
      <sheetName val="[손익기01_XL_x005f_x0000__x005f_x0000_DePara1"/>
      <sheetName val="Income_Stmt1"/>
      <sheetName val="Quarterly_LBO_Model1"/>
      <sheetName val="[손익기01_XL1"/>
      <sheetName val="_손익기01_XL_x005f_x0000__x005f_x0000_DePara1"/>
      <sheetName val="15년_BL_사계1"/>
      <sheetName val="Classification_分类"/>
      <sheetName val="1_종합손익(도급)1"/>
      <sheetName val="1_종합손익(주택,개발)1"/>
      <sheetName val="2_실행예산1"/>
      <sheetName val="2_2과부족1"/>
      <sheetName val="2_3원가절감1"/>
      <sheetName val="8_외주비집행현황1"/>
      <sheetName val="9_자재비1"/>
      <sheetName val="10_현장집행1"/>
      <sheetName val="3_추가원가1"/>
      <sheetName val="3_추가원가_(2)1"/>
      <sheetName val="4_사전공사1"/>
      <sheetName val="5_추정공사비1"/>
      <sheetName val="6_금융비용1"/>
      <sheetName val="7_공사비집행현황(총괄)1"/>
      <sheetName val="11_1생산성1"/>
      <sheetName val="11_2인원산출1"/>
      <sheetName val="Figures_Report"/>
      <sheetName val="Set_Up"/>
      <sheetName val="Fare_prices"/>
      <sheetName val="Hotel_prices"/>
      <sheetName val="__한국_AMP_ASP-23_판매가격__"/>
      <sheetName val="CC_Down_load_0716"/>
      <sheetName val="변경실행(2차)_"/>
      <sheetName val="나_출고"/>
      <sheetName val="나_입고"/>
      <sheetName val="09년_인건비(속리산)"/>
      <sheetName val="합산목표(감가+57_5)"/>
      <sheetName val="제조원가_원단위_분석"/>
      <sheetName val="종합표양식(품의_&amp;_입고)_2"/>
      <sheetName val="원가관리_(동월대비)"/>
      <sheetName val="b_balju_(2)"/>
      <sheetName val="2-2_매출분석"/>
      <sheetName val="몰드시스템_리스트"/>
      <sheetName val="11_외화채무증권(AFS,HTM)08"/>
      <sheetName val="13_감액TEST_08"/>
      <sheetName val="12년_CF(9월)"/>
      <sheetName val="중기조종사_단위단가"/>
      <sheetName val="6PILE__(돌출)"/>
      <sheetName val="기성청구_공문"/>
      <sheetName val="Sheet1_(2)"/>
      <sheetName val="tab_STATUS_DO_PROCESSO_"/>
      <sheetName val="Perf__Plan__Diário1"/>
      <sheetName val="In_(2)"/>
      <sheetName val="slide_24_cat_A"/>
      <sheetName val="slide_82_cat_b"/>
      <sheetName val="09~10년_매출계획"/>
      <sheetName val="1_MDF1공장"/>
      <sheetName val="Incident_유형구분표"/>
      <sheetName val="CLASIFICACION_DE_AI"/>
      <sheetName val="Base_da_Datos"/>
      <sheetName val="Dados_dos_Produtos"/>
      <sheetName val="DD_list"/>
      <sheetName val="备注"/>
      <sheetName val="Analysis"/>
      <sheetName val="引用"/>
      <sheetName val="97 사업추정(WEKI)"/>
      <sheetName val="부서코드표"/>
      <sheetName val="외화"/>
      <sheetName val="Tong hop"/>
      <sheetName val="MarketData"/>
      <sheetName val="Definitions"/>
      <sheetName val="95.1.1이후취득자산(숨기기상태)"/>
      <sheetName val="회사정보"/>
      <sheetName val="지점장"/>
      <sheetName val="손익현황"/>
      <sheetName val="현황CODE"/>
      <sheetName val="SIL98"/>
      <sheetName val="재료"/>
      <sheetName val="ADR"/>
      <sheetName val="Total"/>
      <sheetName val="XZLC004_PART2"/>
      <sheetName val="XZLC003_PART1"/>
      <sheetName val="원가(통신)"/>
      <sheetName val="표지"/>
      <sheetName val="설비원가"/>
      <sheetName val="완제품3"/>
      <sheetName val="영동(D)"/>
      <sheetName val="비가동-20"/>
      <sheetName val="점수계산1-2"/>
      <sheetName val="일위대가"/>
      <sheetName val="조명시설"/>
      <sheetName val="품셈표"/>
      <sheetName val="갑근세납세필증명원"/>
      <sheetName val="37개월"/>
      <sheetName val="물량표"/>
      <sheetName val="대비표"/>
      <sheetName val="골조시행"/>
      <sheetName val="주형"/>
      <sheetName val="단가표"/>
      <sheetName val="총내역서"/>
      <sheetName val="sum1 (2)"/>
      <sheetName val="적격"/>
      <sheetName val="3.바닥판설계"/>
      <sheetName val="CAUDIT"/>
      <sheetName val="물량표(신)"/>
      <sheetName val="대공종"/>
      <sheetName val="미드수량"/>
      <sheetName val="참조"/>
      <sheetName val="DATE"/>
      <sheetName val="세부내역서"/>
      <sheetName val="조경"/>
      <sheetName val="입찰보고"/>
      <sheetName val="산출근거"/>
      <sheetName val="일위(토목)"/>
      <sheetName val="환산TB"/>
      <sheetName val="6월 공정외주"/>
      <sheetName val="공정단가계약"/>
      <sheetName val="제1호"/>
      <sheetName val="차액보증"/>
      <sheetName val="钢板差异"/>
      <sheetName val="시험연구비상각"/>
      <sheetName val="Master"/>
      <sheetName val="LinerWt"/>
      <sheetName val="D-623D"/>
      <sheetName val="BQMPALOC"/>
      <sheetName val="현장지지물물량"/>
      <sheetName val="품셈TABLE"/>
      <sheetName val="슬래브"/>
      <sheetName val="원가계산하도"/>
      <sheetName val="적용건축"/>
      <sheetName val="요약PL"/>
      <sheetName val="양식3"/>
      <sheetName val="재고현황"/>
      <sheetName val="발행제기"/>
      <sheetName val="2.대외공문"/>
      <sheetName val="업무연락"/>
      <sheetName val="Ethylene"/>
      <sheetName val="월별매출"/>
      <sheetName val="ChlorAlkali"/>
      <sheetName val="VXXXXXXX"/>
      <sheetName val="퇴충"/>
      <sheetName val="수지"/>
      <sheetName val="BEST"/>
      <sheetName val="020114"/>
      <sheetName val="0111월"/>
      <sheetName val="통장출금액"/>
      <sheetName val="실적"/>
      <sheetName val="카메라"/>
      <sheetName val="slipsumpR"/>
      <sheetName val="2.총괄표"/>
      <sheetName val="64061000"/>
      <sheetName val="주현(해보)"/>
      <sheetName val="주현(영광)"/>
      <sheetName val="_x0018__x0000_"/>
      <sheetName val="입출재고현황 (2)"/>
      <sheetName val="부하계산서"/>
      <sheetName val="자재단가"/>
      <sheetName val="504전기실 동부하-L"/>
      <sheetName val="Sheet15"/>
      <sheetName val="DUT-BAT1"/>
      <sheetName val="참조시트"/>
      <sheetName val="BAND(200)"/>
      <sheetName val="OUTER AREA(겹침없음)"/>
      <sheetName val="EG-09"/>
      <sheetName val="M3산출"/>
      <sheetName val="EL 표면적"/>
      <sheetName val="감가상각비"/>
      <sheetName val="部署名"/>
      <sheetName val="車両別燃費及び油類単価"/>
      <sheetName val="推移グラフ"/>
      <sheetName val="Year"/>
      <sheetName val="인원계획-미화"/>
      <sheetName val="Prices"/>
      <sheetName val="조정내역"/>
      <sheetName val="CF6"/>
      <sheetName val="TRE TABLE"/>
      <sheetName val="C3"/>
      <sheetName val="CC16-내역서"/>
      <sheetName val="단가(반정3교-원주)"/>
      <sheetName val="신공"/>
      <sheetName val="Y-WORK"/>
      <sheetName val="실행간접비용"/>
      <sheetName val="입찰내역 발주처 양식"/>
      <sheetName val="설계명세서"/>
      <sheetName val="전신환매도율"/>
      <sheetName val="경비"/>
      <sheetName val="대차대조표"/>
      <sheetName val="__"/>
      <sheetName val="数据库"/>
      <sheetName val="加薪规则排序"/>
      <sheetName val="支柱模块源数据--请勿更改或删除"/>
      <sheetName val="MasterData"/>
      <sheetName val="条件表"/>
      <sheetName val="Control"/>
      <sheetName val="索引表"/>
      <sheetName val="下拉菜单"/>
      <sheetName val="담당자Raw"/>
      <sheetName val="drop-down_lists"/>
      <sheetName val="turnover reason퇴직사유"/>
      <sheetName val="진천"/>
      <sheetName val="중연"/>
      <sheetName val="용연"/>
      <sheetName val="울산"/>
      <sheetName val="대구"/>
      <sheetName val="구미"/>
      <sheetName val="언양"/>
      <sheetName val="SKU Basic Data"/>
      <sheetName val="L1_L2_Lookup"/>
      <sheetName val="Entity Target"/>
      <sheetName val="Ba"/>
      <sheetName val="Check Qualidade"/>
      <sheetName val="Lista"/>
      <sheetName val="De_Para"/>
      <sheetName val="A"/>
      <sheetName val="De Para"/>
      <sheetName val="FornecM_Check"/>
      <sheetName val="Unidades_SAC-REVENDA2"/>
      <sheetName val="[손익기01_XL??DePara"/>
      <sheetName val="Farol_Metas"/>
      <sheetName val="Mod_Relac_"/>
      <sheetName val="Estratificación_AI"/>
      <sheetName val="condicion_inseguras"/>
      <sheetName val="Actos_Inseguros"/>
      <sheetName val="Control_de_incidentes"/>
      <sheetName val="Plan_de_Acción"/>
      <sheetName val="DETALLE MENSUAL"/>
      <sheetName val="Feuil2"/>
      <sheetName val="Лист2"/>
      <sheetName val="Check Aderencia"/>
      <sheetName val="数据验证"/>
      <sheetName val="Drop-down List"/>
      <sheetName val="by DD"/>
      <sheetName val="Matriz"/>
      <sheetName val="Pareto"/>
      <sheetName val="Hoja5"/>
      <sheetName val="Personal"/>
      <sheetName val="VALIDACION DE DATOS"/>
      <sheetName val="Hoja4"/>
      <sheetName val="条件"/>
      <sheetName val="Jul-Sep Actual cost (2)"/>
      <sheetName val="1"/>
      <sheetName val="分类统计"/>
      <sheetName val="隐患分类"/>
      <sheetName val="Gerencial IL"/>
      <sheetName val="1o_Sem"/>
      <sheetName val="2o_Sem"/>
      <sheetName val="ID_Ano"/>
      <sheetName val="BaseReal"/>
      <sheetName val="Devolução_Cx_Mês"/>
      <sheetName val="Base_Fornec_M_AS_Hl"/>
      <sheetName val="Acompanhamento_Devolução"/>
      <sheetName val="Base_%_VD"/>
      <sheetName val="Graficos"/>
      <sheetName val="MASTER_APP1"/>
      <sheetName val="Cond__Inseguros1"/>
      <sheetName val="Comp__Inseguros1"/>
      <sheetName val="Base_de_Datos1"/>
      <sheetName val="3YP2016-Bottom_up1"/>
      <sheetName val="Farol_Acciones1"/>
      <sheetName val="Lista_de_datos1"/>
      <sheetName val="FornecM_Check1"/>
      <sheetName val="Unidades_SAC-REVENDA3"/>
      <sheetName val="Clasif_1"/>
      <sheetName val="Lista_de_Entrenamientos1"/>
      <sheetName val="Supply_Cost_Centers1"/>
      <sheetName val="[손익기01_XL??DePara1"/>
      <sheetName val="Farol_Metas1"/>
      <sheetName val="Lista_CI1"/>
      <sheetName val="2_카드채권(대출포함)1"/>
      <sheetName val="表21_净利润调节表1"/>
      <sheetName val="Mod_Relac_1"/>
      <sheetName val="Estratificación_AI1"/>
      <sheetName val="condicion_inseguras1"/>
      <sheetName val="Actos_Inseguros1"/>
      <sheetName val="Control_de_incidentes1"/>
      <sheetName val="Plan_de_Acción1"/>
      <sheetName val="_DD_List1"/>
      <sheetName val="Share_Price_20021"/>
      <sheetName val="TOP_KPIs_MTM"/>
      <sheetName val="PLAN_DE_ACCION"/>
      <sheetName val="Faro_de_Indicadores"/>
      <sheetName val="Grafica_Actos"/>
      <sheetName val="Condiciones_SyE"/>
      <sheetName val="REALxMETA_-_CERVEJA2"/>
      <sheetName val="REALxMETA_-_REFRI2"/>
      <sheetName val="BEP_加薪_KPI"/>
      <sheetName val="Dashboard_Prevención_Riesgos_"/>
      <sheetName val="POC_LIST"/>
      <sheetName val="Entity_Target"/>
      <sheetName val="Issues_List_Payments"/>
      <sheetName val="Base Farol"/>
      <sheetName val="ACTOS POR RIESGO"/>
      <sheetName val="Nombre de SOP"/>
      <sheetName val="drop lists"/>
      <sheetName val="Ta_x0005_"/>
      <sheetName val="Ventas Campo"/>
      <sheetName val="MRL NON SUPPLY URU"/>
      <sheetName val="AIIM - Empresas Ext 2012"/>
      <sheetName val="Blad2"/>
      <sheetName val="KPIs Hana"/>
      <sheetName val="CausasProblemasFolios"/>
      <sheetName val="Catalago de refacciones "/>
      <sheetName val="Existencias al 07-Nov-2012"/>
      <sheetName val="GAP"/>
      <sheetName val="Check GG"/>
      <sheetName val="요일_테이블4"/>
      <sheetName val="요일_테이블_(2)3"/>
      <sheetName val="TO_Data_Base12"/>
      <sheetName val="YTD_Summary11"/>
      <sheetName val="Month_Summary11"/>
      <sheetName val="Trial_Balance_MAY_200911"/>
      <sheetName val="TB_Pivot11"/>
      <sheetName val="total_per_LB_LB211"/>
      <sheetName val="Trial_Balance_Vlookup11"/>
      <sheetName val="Trial_Balance_APRIL_200911"/>
      <sheetName val="Roll_Out_AQ11"/>
      <sheetName val="Evolução_mandamentos11"/>
      <sheetName val="Planilha_resultados10"/>
      <sheetName val="Historico_200310"/>
      <sheetName val="Sig_Cycles_Accts_&amp;_Processes10"/>
      <sheetName val="Fixed_ZBB4"/>
      <sheetName val="E_法规NC4"/>
      <sheetName val="3_ISo_YTD4"/>
      <sheetName val="Données_LMU4"/>
      <sheetName val="Brazil_Sovereign4"/>
      <sheetName val="Resumen_Costo4"/>
      <sheetName val="Base_de_Dados4"/>
      <sheetName val="Extract_Loss4"/>
      <sheetName val="5_14"/>
      <sheetName val="QA_跟踪记录表4"/>
      <sheetName val="RG_Depots4"/>
      <sheetName val="material_data4"/>
      <sheetName val="other_data4"/>
      <sheetName val="Como_Estamos4"/>
      <sheetName val="Database_(RUR)Mar_YTD4"/>
      <sheetName val="SKU_Mapping4"/>
      <sheetName val="Drop_Down4"/>
      <sheetName val="Raw_Data4"/>
      <sheetName val="EBM-2_GHQ4"/>
      <sheetName val="Base_PEF5"/>
      <sheetName val="Controls_data6"/>
      <sheetName val="Dados_BLP4"/>
      <sheetName val="Testing_Template_Guidance4"/>
      <sheetName val="Test_Programs4"/>
      <sheetName val="FJJX_Bud_IB3"/>
      <sheetName val="JOB_PROFILE_-_LAS4"/>
      <sheetName val="ARdistr_(2)4"/>
      <sheetName val="look-up_data3"/>
      <sheetName val="Prd_Hierarchy(产品层级)3"/>
      <sheetName val="Com_(2PK)3"/>
      <sheetName val="전사_PL5"/>
      <sheetName val="자금_제외_PL5"/>
      <sheetName val="자금_PL5"/>
      <sheetName val="전사_BS5"/>
      <sheetName val="자금_제외_BS5"/>
      <sheetName val="자금_BS5"/>
      <sheetName val="BS_계정_설명5"/>
      <sheetName val="_Cash_Flow(전사)5"/>
      <sheetName val="_Cash_Flow(자금제외)5"/>
      <sheetName val="_Cash_Flow(자금)5"/>
      <sheetName val="ROIC_5"/>
      <sheetName val="인건비_명세5"/>
      <sheetName val="판관비_명세5"/>
      <sheetName val="OH_Cost경비(내역)5"/>
      <sheetName val="OH_Cost경비(배부기준)5"/>
      <sheetName val="기타수지&amp;특별손익_명세5"/>
      <sheetName val="업무연락_(2)4"/>
      <sheetName val="제시_손익계산서4"/>
      <sheetName val="01_02월_성과급5"/>
      <sheetName val="M_7회차_담금_계획4"/>
      <sheetName val="팀별_실적4"/>
      <sheetName val="팀별_실적_(환산)4"/>
      <sheetName val="4__Inj_투자상세내역4"/>
      <sheetName val="3__Blow_투자_상세내역4"/>
      <sheetName val="Process_List4"/>
      <sheetName val="7_(2)4"/>
      <sheetName val="Prd_Hierarchy(产品层次)3"/>
      <sheetName val="Project_Code3"/>
      <sheetName val="_손익기01_XL3"/>
      <sheetName val="drop_down_list3"/>
      <sheetName val="[손익기01_XL_x005f_x0000__x005f_x0000_DePara3"/>
      <sheetName val="Income_Stmt3"/>
      <sheetName val="Quarterly_LBO_Model3"/>
      <sheetName val="[손익기01_XL3"/>
      <sheetName val="_손익기01_XL_x005f_x0000__x005f_x0000_DePara3"/>
      <sheetName val="15년_BL_사계3"/>
      <sheetName val="Classification_分类2"/>
      <sheetName val="1_종합손익(도급)3"/>
      <sheetName val="1_종합손익(주택,개발)3"/>
      <sheetName val="2_실행예산3"/>
      <sheetName val="2_2과부족3"/>
      <sheetName val="2_3원가절감3"/>
      <sheetName val="8_외주비집행현황3"/>
      <sheetName val="9_자재비3"/>
      <sheetName val="10_현장집행3"/>
      <sheetName val="3_추가원가3"/>
      <sheetName val="3_추가원가_(2)3"/>
      <sheetName val="4_사전공사3"/>
      <sheetName val="5_추정공사비3"/>
      <sheetName val="6_금융비용3"/>
      <sheetName val="7_공사비집행현황(총괄)3"/>
      <sheetName val="11_1생산성3"/>
      <sheetName val="11_2인원산출3"/>
      <sheetName val="Figures_Report2"/>
      <sheetName val="Set_Up3"/>
      <sheetName val="Fare_prices2"/>
      <sheetName val="Hotel_prices2"/>
      <sheetName val="__한국_AMP_ASP-23_판매가격__2"/>
      <sheetName val="CC_Down_load_07162"/>
      <sheetName val="변경실행(2차)_2"/>
      <sheetName val="나_출고2"/>
      <sheetName val="나_입고2"/>
      <sheetName val="09년_인건비(속리산)2"/>
      <sheetName val="합산목표(감가+57_5)2"/>
      <sheetName val="제조원가_원단위_분석2"/>
      <sheetName val="종합표양식(품의_&amp;_입고)_22"/>
      <sheetName val="원가관리_(동월대비)2"/>
      <sheetName val="b_balju_(2)2"/>
      <sheetName val="2-2_매출분석2"/>
      <sheetName val="몰드시스템_리스트2"/>
      <sheetName val="11_외화채무증권(AFS,HTM)082"/>
      <sheetName val="13_감액TEST_082"/>
      <sheetName val="12년_CF(9월)2"/>
      <sheetName val="중기조종사_단위단가2"/>
      <sheetName val="6PILE__(돌출)2"/>
      <sheetName val="기성청구_공문2"/>
      <sheetName val="Sheet1_(2)2"/>
      <sheetName val="tab_STATUS_DO_PROCESSO_2"/>
      <sheetName val="Perf__Plan__Diário12"/>
      <sheetName val="In_(2)2"/>
      <sheetName val="slide_24_cat_A2"/>
      <sheetName val="slide_82_cat_b2"/>
      <sheetName val="09~10년_매출계획2"/>
      <sheetName val="1_MDF1공장2"/>
      <sheetName val="Incident_유형구분표2"/>
      <sheetName val="CLASIFICACION_DE_AI2"/>
      <sheetName val="Base_da_Datos2"/>
      <sheetName val="Dados_dos_Produtos2"/>
      <sheetName val="DD_list2"/>
      <sheetName val="F08_-_Asia_Pac_Full_Year_Q31"/>
      <sheetName val="Top_Priorities1"/>
      <sheetName val="Listco_Stock1"/>
      <sheetName val="Intl_Purchase1"/>
      <sheetName val="FY_outlook1"/>
      <sheetName val="CY_outlook1"/>
      <sheetName val="Cash_metrics1"/>
      <sheetName val="P6_71"/>
      <sheetName val="DATOS_BASE"/>
      <sheetName val="Hazards_Analysis-隐患分析"/>
      <sheetName val="_손익기01_XL_x005f_x005f_x005f_x0000__x005f_x005f_x0"/>
      <sheetName val="97_사업추정(WEKI)"/>
      <sheetName val="Tong_hop"/>
      <sheetName val="95_1_1이후취득자산(숨기기상태)"/>
      <sheetName val="sum1_(2)"/>
      <sheetName val="3_바닥판설계"/>
      <sheetName val="6월_공정외주"/>
      <sheetName val="2_대외공문"/>
      <sheetName val="2_총괄표"/>
      <sheetName val="입출재고현황_(2)"/>
      <sheetName val="504전기실_동부하-L"/>
      <sheetName val="OUTER_AREA(겹침없음)"/>
      <sheetName val="EL_표면적"/>
      <sheetName val="TRE_TABLE"/>
      <sheetName val="입찰내역_발주처_양식"/>
      <sheetName val="turnover_reason퇴직사유"/>
      <sheetName val="SKU_Basic_Data"/>
      <sheetName val="DETALLE_MENSUAL"/>
      <sheetName val="do_not_delete"/>
      <sheetName val="Data_validation"/>
      <sheetName val="APAC_S"/>
      <sheetName val="APAC_N"/>
      <sheetName val="Slide_output"/>
      <sheetName val="Directrices_de_Metas_2017"/>
      <sheetName val="구분"/>
      <sheetName val="2. Indicadores"/>
      <sheetName val="Ta¨"/>
      <sheetName val="Ta "/>
      <sheetName val="Registros"/>
      <sheetName val="Key"/>
      <sheetName val="요일_테이블5"/>
      <sheetName val="요일_테이블_(2)4"/>
      <sheetName val="TO_Data_Base13"/>
      <sheetName val="YTD_Summary12"/>
      <sheetName val="Month_Summary12"/>
      <sheetName val="Trial_Balance_MAY_200912"/>
      <sheetName val="TB_Pivot12"/>
      <sheetName val="total_per_LB_LB212"/>
      <sheetName val="Trial_Balance_Vlookup12"/>
      <sheetName val="Trial_Balance_APRIL_200912"/>
      <sheetName val="Roll_Out_AQ12"/>
      <sheetName val="Evolução_mandamentos12"/>
      <sheetName val="Planilha_resultados11"/>
      <sheetName val="Historico_200311"/>
      <sheetName val="Sig_Cycles_Accts_&amp;_Processes11"/>
      <sheetName val="Fixed_ZBB5"/>
      <sheetName val="E_法规NC5"/>
      <sheetName val="3_ISo_YTD5"/>
      <sheetName val="Données_LMU5"/>
      <sheetName val="Brazil_Sovereign5"/>
      <sheetName val="Resumen_Costo5"/>
      <sheetName val="Base_de_Dados5"/>
      <sheetName val="Extract_Loss5"/>
      <sheetName val="5_15"/>
      <sheetName val="QA_跟踪记录表5"/>
      <sheetName val="RG_Depots5"/>
      <sheetName val="material_data5"/>
      <sheetName val="other_data5"/>
      <sheetName val="Como_Estamos5"/>
      <sheetName val="Database_(RUR)Mar_YTD5"/>
      <sheetName val="SKU_Mapping5"/>
      <sheetName val="Drop_Down5"/>
      <sheetName val="Raw_Data5"/>
      <sheetName val="EBM-2_GHQ5"/>
      <sheetName val="Base_PEF6"/>
      <sheetName val="Controls_data7"/>
      <sheetName val="Dados_BLP5"/>
      <sheetName val="Testing_Template_Guidance5"/>
      <sheetName val="Test_Programs5"/>
      <sheetName val="FJJX_Bud_IB4"/>
      <sheetName val="JOB_PROFILE_-_LAS5"/>
      <sheetName val="ARdistr_(2)5"/>
      <sheetName val="look-up_data4"/>
      <sheetName val="Prd_Hierarchy(产品层级)4"/>
      <sheetName val="Com_(2PK)4"/>
      <sheetName val="전사_PL6"/>
      <sheetName val="자금_제외_PL6"/>
      <sheetName val="자금_PL6"/>
      <sheetName val="전사_BS6"/>
      <sheetName val="자금_제외_BS6"/>
      <sheetName val="자금_BS6"/>
      <sheetName val="BS_계정_설명6"/>
      <sheetName val="_Cash_Flow(전사)6"/>
      <sheetName val="_Cash_Flow(자금제외)6"/>
      <sheetName val="_Cash_Flow(자금)6"/>
      <sheetName val="ROIC_6"/>
      <sheetName val="인건비_명세6"/>
      <sheetName val="판관비_명세6"/>
      <sheetName val="OH_Cost경비(내역)6"/>
      <sheetName val="OH_Cost경비(배부기준)6"/>
      <sheetName val="기타수지&amp;특별손익_명세6"/>
      <sheetName val="업무연락_(2)5"/>
      <sheetName val="제시_손익계산서5"/>
      <sheetName val="01_02월_성과급6"/>
      <sheetName val="M_7회차_담금_계획5"/>
      <sheetName val="팀별_실적5"/>
      <sheetName val="팀별_실적_(환산)5"/>
      <sheetName val="4__Inj_투자상세내역5"/>
      <sheetName val="3__Blow_투자_상세내역5"/>
      <sheetName val="Process_List5"/>
      <sheetName val="7_(2)5"/>
      <sheetName val="Prd_Hierarchy(产品层次)4"/>
      <sheetName val="Project_Code4"/>
      <sheetName val="_손익기01_XL4"/>
      <sheetName val="drop_down_list4"/>
      <sheetName val="[손익기01_XL_x005f_x0000__x005f_x0000_DePara4"/>
      <sheetName val="Income_Stmt4"/>
      <sheetName val="Quarterly_LBO_Model4"/>
      <sheetName val="[손익기01_XL4"/>
      <sheetName val="_손익기01_XL_x005f_x0000__x005f_x0000_DePara4"/>
      <sheetName val="15년_BL_사계4"/>
      <sheetName val="Classification_分类3"/>
      <sheetName val="1_종합손익(도급)4"/>
      <sheetName val="1_종합손익(주택,개발)4"/>
      <sheetName val="2_실행예산4"/>
      <sheetName val="2_2과부족4"/>
      <sheetName val="2_3원가절감4"/>
      <sheetName val="8_외주비집행현황4"/>
      <sheetName val="9_자재비4"/>
      <sheetName val="10_현장집행4"/>
      <sheetName val="3_추가원가4"/>
      <sheetName val="3_추가원가_(2)4"/>
      <sheetName val="4_사전공사4"/>
      <sheetName val="5_추정공사비4"/>
      <sheetName val="6_금융비용4"/>
      <sheetName val="7_공사비집행현황(총괄)4"/>
      <sheetName val="11_1생산성4"/>
      <sheetName val="11_2인원산출4"/>
      <sheetName val="Figures_Report3"/>
      <sheetName val="Set_Up4"/>
      <sheetName val="Fare_prices3"/>
      <sheetName val="Hotel_prices3"/>
      <sheetName val="__한국_AMP_ASP-23_판매가격__3"/>
      <sheetName val="CC_Down_load_07163"/>
      <sheetName val="변경실행(2차)_3"/>
      <sheetName val="나_출고3"/>
      <sheetName val="나_입고3"/>
      <sheetName val="09년_인건비(속리산)3"/>
      <sheetName val="합산목표(감가+57_5)3"/>
      <sheetName val="제조원가_원단위_분석3"/>
      <sheetName val="종합표양식(품의_&amp;_입고)_23"/>
      <sheetName val="원가관리_(동월대비)3"/>
      <sheetName val="b_balju_(2)3"/>
      <sheetName val="2-2_매출분석3"/>
      <sheetName val="몰드시스템_리스트3"/>
      <sheetName val="11_외화채무증권(AFS,HTM)083"/>
      <sheetName val="13_감액TEST_083"/>
      <sheetName val="12년_CF(9월)3"/>
      <sheetName val="중기조종사_단위단가3"/>
      <sheetName val="6PILE__(돌출)3"/>
      <sheetName val="기성청구_공문3"/>
      <sheetName val="Sheet1_(2)3"/>
      <sheetName val="tab_STATUS_DO_PROCESSO_3"/>
      <sheetName val="Perf__Plan__Diário13"/>
      <sheetName val="In_(2)3"/>
      <sheetName val="slide_24_cat_A3"/>
      <sheetName val="slide_82_cat_b3"/>
      <sheetName val="09~10년_매출계획3"/>
      <sheetName val="1_MDF1공장3"/>
      <sheetName val="Incident_유형구분표3"/>
      <sheetName val="CLASIFICACION_DE_AI3"/>
      <sheetName val="Base_da_Datos3"/>
      <sheetName val="Dados_dos_Produtos3"/>
      <sheetName val="DD_list3"/>
      <sheetName val="3YP2016-Bottom_up2"/>
      <sheetName val="2_카드채권(대출포함)2"/>
      <sheetName val="表21_净利润调节表2"/>
      <sheetName val="MASTER_APP2"/>
      <sheetName val="Cond__Inseguros2"/>
      <sheetName val="Comp__Inseguros2"/>
      <sheetName val="Lista_de_datos2"/>
      <sheetName val="Base_de_Datos2"/>
      <sheetName val="_DD_List2"/>
      <sheetName val="Share_Price_20022"/>
      <sheetName val="Clasif_2"/>
      <sheetName val="Lista_CI2"/>
      <sheetName val="Farol_Acciones2"/>
      <sheetName val="Lista_de_Entrenamientos2"/>
      <sheetName val="Supply_Cost_Centers2"/>
      <sheetName val="BEP_加薪_KPI1"/>
      <sheetName val="F08_-_Asia_Pac_Full_Year_Q32"/>
      <sheetName val="Top_Priorities2"/>
      <sheetName val="Listco_Stock2"/>
      <sheetName val="Intl_Purchase2"/>
      <sheetName val="FY_outlook2"/>
      <sheetName val="CY_outlook2"/>
      <sheetName val="Cash_metrics2"/>
      <sheetName val="P6_72"/>
      <sheetName val="DATOS_BASE1"/>
      <sheetName val="Hazards_Analysis-隐患分析1"/>
      <sheetName val="_손익기01_XL_x005f_x005f_x005f_x0000__x005f_x005f_x1"/>
      <sheetName val="Dashboard_Prevención_Riesgos_1"/>
      <sheetName val="TOP_KPIs_MTM1"/>
      <sheetName val="PLAN_DE_ACCION1"/>
      <sheetName val="Faro_de_Indicadores1"/>
      <sheetName val="97_사업추정(WEKI)1"/>
      <sheetName val="Tong_hop1"/>
      <sheetName val="95_1_1이후취득자산(숨기기상태)1"/>
      <sheetName val="sum1_(2)1"/>
      <sheetName val="3_바닥판설계1"/>
      <sheetName val="6월_공정외주1"/>
      <sheetName val="2_대외공문1"/>
      <sheetName val="2_총괄표1"/>
      <sheetName val="입출재고현황_(2)1"/>
      <sheetName val="504전기실_동부하-L1"/>
      <sheetName val="OUTER_AREA(겹침없음)1"/>
      <sheetName val="EL_표면적1"/>
      <sheetName val="TRE_TABLE1"/>
      <sheetName val="입찰내역_발주처_양식1"/>
      <sheetName val="Issues_List_Payments1"/>
      <sheetName val="Grafica_Actos1"/>
      <sheetName val="Condiciones_SyE1"/>
      <sheetName val="turnover_reason퇴직사유1"/>
      <sheetName val="POC_LIST1"/>
      <sheetName val="SKU_Basic_Data1"/>
      <sheetName val="DETALLE_MENSUAL1"/>
      <sheetName val="do_not_delete1"/>
      <sheetName val="REALxMETA_-_CERVEJA3"/>
      <sheetName val="REALxMETA_-_REFRI3"/>
      <sheetName val="Data_validation1"/>
      <sheetName val="APAC_S1"/>
      <sheetName val="APAC_N1"/>
      <sheetName val="Slide_output1"/>
      <sheetName val="Directrices_de_Metas_20171"/>
      <sheetName val="Entity_Target1"/>
      <sheetName val="Jul-Sep_Actual_cost_(2)"/>
      <sheetName val="VALIDACION_DE_DATOS"/>
      <sheetName val="Drop-down_List"/>
      <sheetName val="by_DD"/>
      <sheetName val="????"/>
      <sheetName val="DCY"/>
      <sheetName val="DHS"/>
      <sheetName val="HHJ"/>
      <sheetName val="SWS-1"/>
      <sheetName val="부재료 비교(11년 vs 10년)"/>
      <sheetName val="입력자료"/>
      <sheetName val="_손익기01.XL_x005f_x0000__x0"/>
      <sheetName val="Lista de Entrenamientos RSO"/>
      <sheetName val="Tablero SDG"/>
      <sheetName val="Lista Areas"/>
      <sheetName val="One Page"/>
      <sheetName val="Tablero_SDG"/>
      <sheetName val="Lista_Areas"/>
      <sheetName val="One_Page"/>
      <sheetName val="Tablero_SDG1"/>
      <sheetName val="Lista_Areas1"/>
      <sheetName val="One_Page1"/>
      <sheetName val="Sub-Productos HN"/>
      <sheetName val="SDG"/>
      <sheetName val="Eficiencia linea"/>
      <sheetName val="Tablero_SDG2"/>
      <sheetName val="Lista_Areas2"/>
      <sheetName val="One_Page2"/>
      <sheetName val="Sub-Productos_HN"/>
      <sheetName val="Lookups"/>
      <sheetName val="Capa"/>
      <sheetName val="工作表2"/>
      <sheetName val="条件格式选项"/>
      <sheetName val="单位信息"/>
      <sheetName val="条件格式"/>
      <sheetName val="Unidades_SAC-REVENDA4"/>
      <sheetName val="FornecM_Check2"/>
      <sheetName val="Mod_Relac_2"/>
      <sheetName val="[손익기01_XL??DePara2"/>
      <sheetName val="Farol_Metas2"/>
      <sheetName val="Estratificación_AI2"/>
      <sheetName val="condicion_inseguras2"/>
      <sheetName val="Actos_Inseguros2"/>
      <sheetName val="Control_de_incidentes2"/>
      <sheetName val="Plan_de_Acción2"/>
      <sheetName val="Check_Qualidade"/>
      <sheetName val="De_Para1"/>
      <sheetName val="Check_Aderencia"/>
      <sheetName val="Ta"/>
      <sheetName val="Base_Farol"/>
      <sheetName val="Ventas_Campo"/>
      <sheetName val="Gerencial_IL"/>
      <sheetName val="Ta_"/>
      <sheetName val="ACTOS_POR_RIESGO"/>
      <sheetName val="Nombre_de_SOP"/>
      <sheetName val="drop_lists"/>
      <sheetName val="Check_GG"/>
      <sheetName val="KPIs_Hana"/>
      <sheetName val="Catalago_de_refacciones_"/>
      <sheetName val="Existencias_al_07-Nov-2012"/>
      <sheetName val="MRL_NON_SUPPLY_URU"/>
      <sheetName val="AIIM_-_Empresas_Ext_2012"/>
      <sheetName val="Sheet3 (2)"/>
      <sheetName val="Hoegaarden"/>
      <sheetName val="Lao &amp; Cam"/>
      <sheetName val="Hoegaarden 2019"/>
      <sheetName val="Lao &amp; Cam 2019"/>
      <sheetName val="Malaysia"/>
      <sheetName val="Malaysia 2019"/>
      <sheetName val="Singapore"/>
      <sheetName val="Singapore 2019"/>
      <sheetName val="Sheet2 (2)"/>
      <sheetName val="下拉菜单选项"/>
      <sheetName val="Vermelha"/>
      <sheetName val="Список"/>
      <sheetName val="targets"/>
      <sheetName val=" mngt Pillar"/>
      <sheetName val="Reference"/>
      <sheetName val="Pauta RPS Distribuição"/>
      <sheetName val="BaseGrupo"/>
      <sheetName val="RProd"/>
      <sheetName val="Planilha1"/>
      <sheetName val="Planilha2"/>
      <sheetName val="Estoque"/>
      <sheetName val="Estoque (2)"/>
      <sheetName val="ajuda"/>
      <sheetName val="Adm"/>
      <sheetName val="Refs"/>
      <sheetName val="Motorista"/>
      <sheetName val="[손익기01_XL_x0000__x0000_DePara2"/>
      <sheetName val="_손익기01_XL_x0000__x0000_DePara2"/>
      <sheetName val="[손익기01_XL_x0000__x0000_DePara1"/>
      <sheetName val="_손익기01_XL_x0000__x0000_DePara1"/>
      <sheetName val="[손익기01_XL_x0000__x0000_DePara3"/>
      <sheetName val="_손익기01_XL_x0000__x0000_DePara3"/>
      <sheetName val="_손익기01.XL_x0000__x0"/>
      <sheetName val="[손익기01_XL_x0000__x0000_DePara4"/>
      <sheetName val="_손익기01_XL_x0000__x0000_DePara4"/>
      <sheetName val="_손익기01_XL_x005f_x0000__x0"/>
      <sheetName val="_손익기01_XL_x005f_x0000__x1"/>
      <sheetName val="Dropdown"/>
      <sheetName val="요일 테이블 "/>
      <sheetName val="Other Listings"/>
      <sheetName val="有效性"/>
      <sheetName val="基础信息"/>
      <sheetName val="Sheet4"/>
      <sheetName val="Controls"/>
      <sheetName val="Comp Inseguros"/>
      <sheetName val="BNR_2012 в ящике"/>
      <sheetName val="隐患统计图"/>
      <sheetName val="dd"/>
      <sheetName val="菜单联动"/>
      <sheetName val="不安全行为库"/>
      <sheetName val="KPI标准"/>
      <sheetName val="참조용"/>
      <sheetName val="筛选列表"/>
      <sheetName val="Julio"/>
      <sheetName val="DATOS DE VALIDACIÓN"/>
      <sheetName val="clasificación"/>
      <sheetName val="Datos con"/>
      <sheetName val="Dato"/>
      <sheetName val="CONTADOR"/>
      <sheetName val="DROP"/>
      <sheetName val="INGRESO"/>
      <sheetName val="Respel-RAEE"/>
      <sheetName val="Asistencia"/>
      <sheetName val="Enero(11)"/>
      <sheetName val=" Datos Cond."/>
      <sheetName val="CRITERIOS"/>
      <sheetName val="INGRESO (2)"/>
      <sheetName val="PG-K1610 (UEN Areas)MNG"/>
      <sheetName val="DATOS GEN."/>
      <sheetName val="NUEVOS CRITERIOS"/>
      <sheetName val="Un"/>
      <sheetName val="Condiciones Agua"/>
      <sheetName val="ETD"/>
      <sheetName val="Cons"/>
      <sheetName val="TO_Data_Base14"/>
      <sheetName val="YTD_Summary13"/>
      <sheetName val="Month_Summary13"/>
      <sheetName val="Trial_Balance_MAY_200913"/>
      <sheetName val="TB_Pivot13"/>
      <sheetName val="total_per_LB_LB213"/>
      <sheetName val="Trial_Balance_Vlookup13"/>
      <sheetName val="Trial_Balance_APRIL_200913"/>
      <sheetName val="Roll_Out_AQ13"/>
      <sheetName val="Evolução_mandamentos13"/>
      <sheetName val="Planilha_resultados12"/>
      <sheetName val="Historico_200312"/>
      <sheetName val="Sig_Cycles_Accts_&amp;_Processes12"/>
      <sheetName val="Fixed_ZBB6"/>
      <sheetName val="E_法规NC6"/>
      <sheetName val="3_ISo_YTD6"/>
      <sheetName val="Données_LMU6"/>
      <sheetName val="Brazil_Sovereign6"/>
      <sheetName val="Resumen_Costo6"/>
      <sheetName val="Extract_Loss6"/>
      <sheetName val="QA_跟踪记录表6"/>
      <sheetName val="5_16"/>
      <sheetName val="Base_de_Dados6"/>
      <sheetName val="Como_Estamos6"/>
      <sheetName val="Controls_data8"/>
      <sheetName val="RG_Depots6"/>
      <sheetName val="material_data6"/>
      <sheetName val="other_data6"/>
      <sheetName val="Database_(RUR)Mar_YTD6"/>
      <sheetName val="SKU_Mapping6"/>
      <sheetName val="Drop_Down6"/>
      <sheetName val="Raw_Data6"/>
      <sheetName val="EBM-2_GHQ6"/>
      <sheetName val="Base_PEF7"/>
      <sheetName val="Testing_Template_Guidance6"/>
      <sheetName val="Test_Programs6"/>
      <sheetName val="Dados_BLP6"/>
      <sheetName val="FJJX_Bud_IB5"/>
      <sheetName val="JOB_PROFILE_-_LAS6"/>
      <sheetName val="ARdistr_(2)6"/>
      <sheetName val="look-up_data5"/>
      <sheetName val="Prd_Hierarchy(产品层级)5"/>
      <sheetName val="Com_(2PK)5"/>
      <sheetName val="Project_Code5"/>
      <sheetName val="요일_테이블6"/>
      <sheetName val="요일_테이블_(2)5"/>
      <sheetName val="Prd_Hierarchy(产品层次)5"/>
      <sheetName val="전사_PL7"/>
      <sheetName val="자금_제외_PL7"/>
      <sheetName val="자금_PL7"/>
      <sheetName val="전사_BS7"/>
      <sheetName val="자금_제외_BS7"/>
      <sheetName val="자금_BS7"/>
      <sheetName val="BS_계정_설명7"/>
      <sheetName val="_Cash_Flow(전사)7"/>
      <sheetName val="_Cash_Flow(자금제외)7"/>
      <sheetName val="_Cash_Flow(자금)7"/>
      <sheetName val="ROIC_7"/>
      <sheetName val="인건비_명세7"/>
      <sheetName val="판관비_명세7"/>
      <sheetName val="OH_Cost경비(내역)7"/>
      <sheetName val="OH_Cost경비(배부기준)7"/>
      <sheetName val="기타수지&amp;특별손익_명세7"/>
      <sheetName val="업무연락_(2)6"/>
      <sheetName val="제시_손익계산서6"/>
      <sheetName val="01_02월_성과급7"/>
      <sheetName val="M_7회차_담금_계획6"/>
      <sheetName val="팀별_실적6"/>
      <sheetName val="팀별_실적_(환산)6"/>
      <sheetName val="4__Inj_투자상세내역6"/>
      <sheetName val="3__Blow_투자_상세내역6"/>
      <sheetName val="Process_List6"/>
      <sheetName val="7_(2)6"/>
      <sheetName val="_손익기01_XL5"/>
      <sheetName val="Income_Stmt5"/>
      <sheetName val="drop_down_list5"/>
      <sheetName val="[손익기01_XL_x005f_x0000__x005f_x0000_DePara5"/>
      <sheetName val="Quarterly_LBO_Model5"/>
      <sheetName val="Figures_Report4"/>
      <sheetName val="[손익기01_XL5"/>
      <sheetName val="_손익기01_XL_x005f_x0000__x005f_x0000_DePara5"/>
      <sheetName val="Fare_prices4"/>
      <sheetName val="Hotel_prices4"/>
      <sheetName val="Set_Up5"/>
      <sheetName val="15년_BL_사계5"/>
      <sheetName val="1_종합손익(도급)5"/>
      <sheetName val="1_종합손익(주택,개발)5"/>
      <sheetName val="2_실행예산5"/>
      <sheetName val="2_2과부족5"/>
      <sheetName val="2_3원가절감5"/>
      <sheetName val="8_외주비집행현황5"/>
      <sheetName val="9_자재비5"/>
      <sheetName val="10_현장집행5"/>
      <sheetName val="3_추가원가5"/>
      <sheetName val="3_추가원가_(2)5"/>
      <sheetName val="4_사전공사5"/>
      <sheetName val="5_추정공사비5"/>
      <sheetName val="6_금융비용5"/>
      <sheetName val="7_공사비집행현황(총괄)5"/>
      <sheetName val="11_1생산성5"/>
      <sheetName val="11_2인원산출5"/>
      <sheetName val="Classification_分类4"/>
      <sheetName val="tab_STATUS_DO_PROCESSO_4"/>
      <sheetName val="Perf__Plan__Diário14"/>
      <sheetName val="In_(2)4"/>
      <sheetName val="__한국_AMP_ASP-23_판매가격__4"/>
      <sheetName val="CC_Down_load_07164"/>
      <sheetName val="변경실행(2차)_4"/>
      <sheetName val="나_출고4"/>
      <sheetName val="나_입고4"/>
      <sheetName val="09년_인건비(속리산)4"/>
      <sheetName val="합산목표(감가+57_5)4"/>
      <sheetName val="제조원가_원단위_분석4"/>
      <sheetName val="종합표양식(품의_&amp;_입고)_24"/>
      <sheetName val="원가관리_(동월대비)4"/>
      <sheetName val="b_balju_(2)4"/>
      <sheetName val="2-2_매출분석4"/>
      <sheetName val="몰드시스템_리스트4"/>
      <sheetName val="11_외화채무증권(AFS,HTM)084"/>
      <sheetName val="13_감액TEST_084"/>
      <sheetName val="12년_CF(9월)4"/>
      <sheetName val="중기조종사_단위단가4"/>
      <sheetName val="6PILE__(돌출)4"/>
      <sheetName val="기성청구_공문4"/>
      <sheetName val="Sheet1_(2)4"/>
      <sheetName val="CLASIFICACION_DE_AI4"/>
      <sheetName val="Base_da_Datos4"/>
      <sheetName val="slide_24_cat_A4"/>
      <sheetName val="slide_82_cat_b4"/>
      <sheetName val="Dados_dos_Produtos4"/>
      <sheetName val="09~10년_매출계획4"/>
      <sheetName val="1_MDF1공장4"/>
      <sheetName val="Incident_유형구분표4"/>
      <sheetName val="3YP2016-Bottom_up3"/>
      <sheetName val="DD_list4"/>
      <sheetName val="Base_de_Datos3"/>
      <sheetName val="Clasif_3"/>
      <sheetName val="Supply_Cost_Centers3"/>
      <sheetName val="Cond__Inseguros3"/>
      <sheetName val="Comp__Inseguros3"/>
      <sheetName val="Lista_de_datos3"/>
      <sheetName val="MASTER_APP3"/>
      <sheetName val="2_카드채권(대출포함)3"/>
      <sheetName val="表21_净利润调节表3"/>
      <sheetName val="Lista_CI3"/>
      <sheetName val="Dashboard_Prevención_Riesgos_2"/>
      <sheetName val="TOP_KPIs_MTM2"/>
      <sheetName val="PLAN_DE_ACCION2"/>
      <sheetName val="Faro_de_Indicadores2"/>
      <sheetName val="Farol_Acciones3"/>
      <sheetName val="Lista_de_Entrenamientos3"/>
      <sheetName val="Share_Price_20023"/>
      <sheetName val="_DD_List3"/>
      <sheetName val="BEP_加薪_KPI2"/>
      <sheetName val="Issues_List_Payments2"/>
      <sheetName val="do_not_delete2"/>
      <sheetName val="Grafica_Actos2"/>
      <sheetName val="APAC_S2"/>
      <sheetName val="APAC_N2"/>
      <sheetName val="Slide_output2"/>
      <sheetName val="Condiciones_SyE2"/>
      <sheetName val="REALxMETA_-_CERVEJA4"/>
      <sheetName val="REALxMETA_-_REFRI4"/>
      <sheetName val="Directrices_de_Metas_20172"/>
      <sheetName val="Data_validation2"/>
      <sheetName val="_손익기01_XL_x005f_x005f_x005f_x0000__x005f_x005f_x2"/>
      <sheetName val="Hazards_Analysis-隐患分析2"/>
      <sheetName val="F08_-_Asia_Pac_Full_Year_Q33"/>
      <sheetName val="Top_Priorities3"/>
      <sheetName val="Listco_Stock3"/>
      <sheetName val="Intl_Purchase3"/>
      <sheetName val="FY_outlook3"/>
      <sheetName val="CY_outlook3"/>
      <sheetName val="Cash_metrics3"/>
      <sheetName val="P6_73"/>
      <sheetName val="DATOS_BASE2"/>
      <sheetName val="97_사업추정(WEKI)2"/>
      <sheetName val="Tong_hop2"/>
      <sheetName val="95_1_1이후취득자산(숨기기상태)2"/>
      <sheetName val="sum1_(2)2"/>
      <sheetName val="3_바닥판설계2"/>
      <sheetName val="6월_공정외주2"/>
      <sheetName val="2_대외공문2"/>
      <sheetName val="2_총괄표2"/>
      <sheetName val="입출재고현황_(2)2"/>
      <sheetName val="504전기실_동부하-L2"/>
      <sheetName val="OUTER_AREA(겹침없음)2"/>
      <sheetName val="EL_표면적2"/>
      <sheetName val="TRE_TABLE2"/>
      <sheetName val="입찰내역_발주처_양식2"/>
      <sheetName val="POC_LIST2"/>
      <sheetName val="turnover_reason퇴직사유2"/>
      <sheetName val="SKU_Basic_Data2"/>
      <sheetName val="Entity_Target2"/>
      <sheetName val="DETALLE_MENSUAL2"/>
      <sheetName val="Drop-down_List1"/>
      <sheetName val="by_DD1"/>
      <sheetName val="VALIDACION_DE_DATOS1"/>
      <sheetName val="Jul-Sep_Actual_cost_(2)1"/>
      <sheetName val="부재료_비교(11년_vs_10년)"/>
      <sheetName val="Sheet3_(2)"/>
      <sheetName val="Lao_&amp;_Cam"/>
      <sheetName val="Hoegaarden_2019"/>
      <sheetName val="Lao_&amp;_Cam_2019"/>
      <sheetName val="Malaysia_2019"/>
      <sheetName val="Singapore_2019"/>
      <sheetName val="Sheet2_(2)"/>
      <sheetName val="요일_테이블_"/>
      <sheetName val="Other_Listings"/>
      <sheetName val="2__Indicadores"/>
      <sheetName val="Lista_de_Entrenamientos_RSO"/>
      <sheetName val="Tablero_SDG3"/>
      <sheetName val="Lista_Areas3"/>
      <sheetName val="One_Page3"/>
      <sheetName val="Sub-Productos_HN1"/>
      <sheetName val="Eficiencia_linea"/>
      <sheetName val="_mngt_Pillar"/>
      <sheetName val="Liste"/>
      <sheetName val="Justificativas"/>
      <sheetName val="Legend"/>
      <sheetName val="DO NOT MOVE"/>
      <sheetName val="이상욱"/>
      <sheetName val="최창원"/>
      <sheetName val="권순오"/>
      <sheetName val="유윤선"/>
      <sheetName val="서유덕"/>
      <sheetName val="이창훈"/>
      <sheetName val="이도현"/>
      <sheetName val="진형수"/>
      <sheetName val="원영훈"/>
      <sheetName val="정진광"/>
      <sheetName val="강승권"/>
      <sheetName val="마민호"/>
      <sheetName val="주차통행료"/>
      <sheetName val="이상욱2"/>
      <sheetName val="[손익기01_XLDePara5"/>
      <sheetName val="_손익기01_XLDePara5"/>
      <sheetName val="Unidades_SAC-REVENDA5"/>
      <sheetName val="FornecM_Check3"/>
      <sheetName val="Estratificación_AI3"/>
      <sheetName val="condicion_inseguras3"/>
      <sheetName val="Actos_Inseguros3"/>
      <sheetName val="Control_de_incidentes3"/>
      <sheetName val="Plan_de_Acción3"/>
      <sheetName val="[손익기01_XL??DePara3"/>
      <sheetName val="Farol_Metas3"/>
      <sheetName val="Mod_Relac_3"/>
      <sheetName val="Check_Qualidade1"/>
      <sheetName val="Check_Aderencia1"/>
      <sheetName val="De_Para2"/>
      <sheetName val="Base_Farol1"/>
      <sheetName val="Gerencial_IL1"/>
      <sheetName val="Ventas_Campo1"/>
      <sheetName val="ACTOS_POR_RIESGO1"/>
      <sheetName val="drop_lists1"/>
      <sheetName val="MRL_NON_SUPPLY_URU1"/>
      <sheetName val="AIIM_-_Empresas_Ext_20121"/>
      <sheetName val="KPIs_Hana1"/>
      <sheetName val="Catalago_de_refacciones_1"/>
      <sheetName val="Existencias_al_07-Nov-20121"/>
      <sheetName val="Check_GG1"/>
      <sheetName val="Nombre_de_SOP1"/>
      <sheetName val="Ta_1"/>
      <sheetName val="_손익기01_XL_x005f_x0000__x01"/>
      <sheetName val="Pauta_RPS_Distribuição"/>
      <sheetName val="Estoque_(2)"/>
      <sheetName val="_손익기01_XL_x0"/>
      <sheetName val="Comp_Inseguros"/>
      <sheetName val="BNR_2012_в_ящике"/>
      <sheetName val="PINC汇总"/>
      <sheetName val="Проверки"/>
      <sheetName val="Drop list"/>
      <sheetName val="FX Rates"/>
      <sheetName val="Control de Fallas"/>
      <sheetName val="Setup for Templates"/>
      <sheetName val="Datos emp"/>
      <sheetName val="品牌填写下拉菜单"/>
      <sheetName val="选项"/>
      <sheetName val="Note"/>
      <sheetName val="物料主数据"/>
      <sheetName val="Dropdown list"/>
      <sheetName val="清单"/>
      <sheetName val="beerflow"/>
      <sheetName val="TIPO DE ACTO"/>
      <sheetName val="Marcas"/>
      <sheetName val="% cumplimiento "/>
      <sheetName val="% CUMPLIMIENTO"/>
      <sheetName val="Listas y equipos a evaluar"/>
      <sheetName val="Concentrado"/>
      <sheetName val="CRITICIDAD DE CI"/>
      <sheetName val="Catálogo de CI"/>
      <sheetName val="NH3"/>
      <sheetName val="Hoja7"/>
      <sheetName val="Data Reporte"/>
      <sheetName val="Read me"/>
      <sheetName val="_x0000__x0005__x0000__x0001__x0000__x0000__x0000_"/>
      <sheetName val="_x0000__x0005__x0000_ÿ_x000f__x0000_ÿ"/>
      <sheetName val="요일_테이블7"/>
      <sheetName val="요일_테이블_(2)6"/>
      <sheetName val="TO_Data_Base15"/>
      <sheetName val="YTD_Summary14"/>
      <sheetName val="Month_Summary14"/>
      <sheetName val="Trial_Balance_MAY_200914"/>
      <sheetName val="TB_Pivot14"/>
      <sheetName val="total_per_LB_LB214"/>
      <sheetName val="Trial_Balance_Vlookup14"/>
      <sheetName val="Trial_Balance_APRIL_200914"/>
      <sheetName val="Roll_Out_AQ14"/>
      <sheetName val="Evolução_mandamentos14"/>
      <sheetName val="Planilha_resultados13"/>
      <sheetName val="Historico_200313"/>
      <sheetName val="Sig_Cycles_Accts_&amp;_Processes13"/>
      <sheetName val="3_ISo_YTD7"/>
      <sheetName val="E_法规NC7"/>
      <sheetName val="Données_LMU7"/>
      <sheetName val="Brazil_Sovereign7"/>
      <sheetName val="Resumen_Costo7"/>
      <sheetName val="Fixed_ZBB7"/>
      <sheetName val="5_17"/>
      <sheetName val="Extract_Loss7"/>
      <sheetName val="QA_跟踪记录表7"/>
      <sheetName val="RG_Depots7"/>
      <sheetName val="material_data7"/>
      <sheetName val="other_data7"/>
      <sheetName val="Como_Estamos7"/>
      <sheetName val="Database_(RUR)Mar_YTD7"/>
      <sheetName val="SKU_Mapping7"/>
      <sheetName val="Drop_Down7"/>
      <sheetName val="Raw_Data7"/>
      <sheetName val="EBM-2_GHQ7"/>
      <sheetName val="Base_PEF8"/>
      <sheetName val="Base_de_Dados7"/>
      <sheetName val="Testing_Template_Guidance7"/>
      <sheetName val="Test_Programs7"/>
      <sheetName val="Dados_BLP7"/>
      <sheetName val="Controls_data9"/>
      <sheetName val="FJJX_Bud_IB6"/>
      <sheetName val="look-up_data6"/>
      <sheetName val="JOB_PROFILE_-_LAS7"/>
      <sheetName val="ARdistr_(2)7"/>
      <sheetName val="Prd_Hierarchy(产品层级)6"/>
      <sheetName val="Com_(2PK)6"/>
      <sheetName val="전사_PL8"/>
      <sheetName val="자금_제외_PL8"/>
      <sheetName val="자금_PL8"/>
      <sheetName val="전사_BS8"/>
      <sheetName val="자금_제외_BS8"/>
      <sheetName val="자금_BS8"/>
      <sheetName val="BS_계정_설명8"/>
      <sheetName val="_Cash_Flow(전사)8"/>
      <sheetName val="_Cash_Flow(자금제외)8"/>
      <sheetName val="_Cash_Flow(자금)8"/>
      <sheetName val="ROIC_8"/>
      <sheetName val="인건비_명세8"/>
      <sheetName val="판관비_명세8"/>
      <sheetName val="OH_Cost경비(내역)8"/>
      <sheetName val="OH_Cost경비(배부기준)8"/>
      <sheetName val="기타수지&amp;특별손익_명세8"/>
      <sheetName val="업무연락_(2)7"/>
      <sheetName val="제시_손익계산서7"/>
      <sheetName val="01_02월_성과급8"/>
      <sheetName val="M_7회차_담금_계획7"/>
      <sheetName val="팀별_실적7"/>
      <sheetName val="팀별_실적_(환산)7"/>
      <sheetName val="4__Inj_투자상세내역7"/>
      <sheetName val="3__Blow_투자_상세내역7"/>
      <sheetName val="Process_List7"/>
      <sheetName val="7_(2)7"/>
      <sheetName val="Prd_Hierarchy(产品层次)6"/>
      <sheetName val="Project_Code6"/>
      <sheetName val="_손익기01_XL6"/>
      <sheetName val="drop_down_list6"/>
      <sheetName val="[손익기01_XL_x005f_x0000__x005f_x0000_DePara6"/>
      <sheetName val="Income_Stmt6"/>
      <sheetName val="Quarterly_LBO_Model6"/>
      <sheetName val="_손익기01_XL_x005f_x0000__x005f_x0000_DePara6"/>
      <sheetName val="[손익기01_XL6"/>
      <sheetName val="15년_BL_사계6"/>
      <sheetName val="1_종합손익(도급)6"/>
      <sheetName val="1_종합손익(주택,개발)6"/>
      <sheetName val="2_실행예산6"/>
      <sheetName val="2_2과부족6"/>
      <sheetName val="2_3원가절감6"/>
      <sheetName val="8_외주비집행현황6"/>
      <sheetName val="9_자재비6"/>
      <sheetName val="10_현장집행6"/>
      <sheetName val="3_추가원가6"/>
      <sheetName val="3_추가원가_(2)6"/>
      <sheetName val="4_사전공사6"/>
      <sheetName val="5_추정공사비6"/>
      <sheetName val="6_금융비용6"/>
      <sheetName val="7_공사비집행현황(총괄)6"/>
      <sheetName val="11_1생산성6"/>
      <sheetName val="11_2인원산출6"/>
      <sheetName val="Classification_分类5"/>
      <sheetName val="Figures_Report5"/>
      <sheetName val="Set_Up6"/>
      <sheetName val="Fare_prices5"/>
      <sheetName val="Hotel_prices5"/>
      <sheetName val="__한국_AMP_ASP-23_판매가격__5"/>
      <sheetName val="CC_Down_load_07165"/>
      <sheetName val="변경실행(2차)_5"/>
      <sheetName val="나_출고5"/>
      <sheetName val="나_입고5"/>
      <sheetName val="09년_인건비(속리산)5"/>
      <sheetName val="합산목표(감가+57_5)5"/>
      <sheetName val="제조원가_원단위_분석5"/>
      <sheetName val="종합표양식(품의_&amp;_입고)_25"/>
      <sheetName val="원가관리_(동월대비)5"/>
      <sheetName val="b_balju_(2)5"/>
      <sheetName val="2-2_매출분석5"/>
      <sheetName val="몰드시스템_리스트5"/>
      <sheetName val="11_외화채무증권(AFS,HTM)085"/>
      <sheetName val="13_감액TEST_085"/>
      <sheetName val="12년_CF(9월)5"/>
      <sheetName val="중기조종사_단위단가5"/>
      <sheetName val="6PILE__(돌출)5"/>
      <sheetName val="기성청구_공문5"/>
      <sheetName val="Sheet1_(2)5"/>
      <sheetName val="09~10년_매출계획5"/>
      <sheetName val="1_MDF1공장5"/>
      <sheetName val="tab_STATUS_DO_PROCESSO_5"/>
      <sheetName val="Perf__Plan__Diário15"/>
      <sheetName val="In_(2)5"/>
      <sheetName val="slide_24_cat_A5"/>
      <sheetName val="slide_82_cat_b5"/>
      <sheetName val="Incident_유형구분표5"/>
      <sheetName val="CLASIFICACION_DE_AI5"/>
      <sheetName val="Base_da_Datos5"/>
      <sheetName val="Dados_dos_Produtos5"/>
      <sheetName val="DD_list5"/>
      <sheetName val="3YP2016-Bottom_up4"/>
      <sheetName val="2_카드채권(대출포함)4"/>
      <sheetName val="表21_净利润调节表4"/>
      <sheetName val="MASTER_APP4"/>
      <sheetName val="Cond__Inseguros4"/>
      <sheetName val="Comp__Inseguros4"/>
      <sheetName val="Lista_de_datos4"/>
      <sheetName val="Base_de_Datos4"/>
      <sheetName val="_DD_List4"/>
      <sheetName val="Share_Price_20024"/>
      <sheetName val="Clasif_4"/>
      <sheetName val="Lista_CI4"/>
      <sheetName val="Farol_Acciones4"/>
      <sheetName val="Lista_de_Entrenamientos4"/>
      <sheetName val="Supply_Cost_Centers4"/>
      <sheetName val="BEP_加薪_KPI3"/>
      <sheetName val="F08_-_Asia_Pac_Full_Year_Q34"/>
      <sheetName val="Top_Priorities4"/>
      <sheetName val="Listco_Stock4"/>
      <sheetName val="Intl_Purchase4"/>
      <sheetName val="FY_outlook4"/>
      <sheetName val="CY_outlook4"/>
      <sheetName val="Cash_metrics4"/>
      <sheetName val="P6_74"/>
      <sheetName val="DATOS_BASE3"/>
      <sheetName val="Dashboard_Prevención_Riesgos_3"/>
      <sheetName val="TOP_KPIs_MTM3"/>
      <sheetName val="PLAN_DE_ACCION3"/>
      <sheetName val="Faro_de_Indicadores3"/>
      <sheetName val="Hazards_Analysis-隐患分析3"/>
      <sheetName val="_손익기01_XL_x005f_x005f_x005f_x0000__x005f_x005f_x3"/>
      <sheetName val="97_사업추정(WEKI)3"/>
      <sheetName val="Tong_hop3"/>
      <sheetName val="95_1_1이후취득자산(숨기기상태)3"/>
      <sheetName val="sum1_(2)3"/>
      <sheetName val="3_바닥판설계3"/>
      <sheetName val="6월_공정외주3"/>
      <sheetName val="2_대외공문3"/>
      <sheetName val="2_총괄표3"/>
      <sheetName val="입출재고현황_(2)3"/>
      <sheetName val="504전기실_동부하-L3"/>
      <sheetName val="OUTER_AREA(겹침없음)3"/>
      <sheetName val="EL_표면적3"/>
      <sheetName val="TRE_TABLE3"/>
      <sheetName val="입찰내역_발주처_양식3"/>
      <sheetName val="Jul-Sep_Actual_cost_(2)2"/>
      <sheetName val="Issues_List_Payments3"/>
      <sheetName val="turnover_reason퇴직사유3"/>
      <sheetName val="Grafica_Actos3"/>
      <sheetName val="POC_LIST3"/>
      <sheetName val="부재료_비교(11년_vs_10년)1"/>
      <sheetName val="Condiciones_SyE3"/>
      <sheetName val="DETALLE_MENSUAL3"/>
      <sheetName val="do_not_delete3"/>
      <sheetName val="APAC_S3"/>
      <sheetName val="APAC_N3"/>
      <sheetName val="Slide_output3"/>
      <sheetName val="REALxMETA_-_CERVEJA5"/>
      <sheetName val="REALxMETA_-_REFRI5"/>
      <sheetName val="Directrices_de_Metas_20173"/>
      <sheetName val="Data_validation3"/>
      <sheetName val="SKU_Basic_Data3"/>
      <sheetName val="Entity_Target3"/>
      <sheetName val="VALIDACION_DE_DATOS2"/>
      <sheetName val="Drop-down_List2"/>
      <sheetName val="by_DD2"/>
      <sheetName val="Sheet3_(2)1"/>
      <sheetName val="요일_테이블_1"/>
      <sheetName val="_mngt_Pillar1"/>
      <sheetName val="2__Indicadores1"/>
      <sheetName val="Lao_&amp;_Cam1"/>
      <sheetName val="Hoegaarden_20191"/>
      <sheetName val="Lao_&amp;_Cam_20191"/>
      <sheetName val="Malaysia_20191"/>
      <sheetName val="Singapore_20191"/>
      <sheetName val="Sheet2_(2)1"/>
      <sheetName val="Other_Listings1"/>
      <sheetName val="Lista_de_Entrenamientos_RSO1"/>
      <sheetName val="Tablero_SDG4"/>
      <sheetName val="Lista_Areas4"/>
      <sheetName val="One_Page4"/>
      <sheetName val="Sub-Productos_HN2"/>
      <sheetName val="Eficiencia_linea1"/>
      <sheetName val="DATOS_DE_VALIDACIÓN"/>
      <sheetName val="Datos_con"/>
      <sheetName val="_Datos_Cond_"/>
      <sheetName val="DO_NOT_MOVE"/>
      <sheetName val="INGRESO_(2)"/>
      <sheetName val="PG-K1610_(UEN_Areas)MNG"/>
      <sheetName val="DATOS_GEN_"/>
      <sheetName val="NUEVOS_CRITERIOS"/>
      <sheetName val="Condiciones_Agua"/>
      <sheetName val="Proced."/>
      <sheetName val="Validation lists"/>
      <sheetName val="PREENCHIMENTO"/>
      <sheetName val="Vagas x Candidatos"/>
      <sheetName val="Planilha_relts_xdb75__xdb62_eos7"/>
      <sheetName val="Testing_Template_Huidance1"/>
      <sheetName val="  한국 AMP ASP-23 판㧤가격  "/>
      <sheetName val="11.䡸화채무줝ⴌ(AFS,HTM)08"/>
      <sheetName val="PTN"/>
      <sheetName val="Cut Machine Summary"/>
      <sheetName val="Imputs"/>
      <sheetName val="Daily Dashboard"/>
      <sheetName val="TO_Data_Base16"/>
      <sheetName val="YTD_Summary15"/>
      <sheetName val="Month_Summary15"/>
      <sheetName val="Trial_Balance_MAY_200915"/>
      <sheetName val="TB_Pivot15"/>
      <sheetName val="total_per_LB_LB215"/>
      <sheetName val="Trial_Balance_Vlookup15"/>
      <sheetName val="Trial_Balance_APRIL_200915"/>
      <sheetName val="Roll_Out_AQ15"/>
      <sheetName val="Evolução_mandamentos15"/>
      <sheetName val="Planilha_resultados14"/>
      <sheetName val="Historico_200314"/>
      <sheetName val="Sig_Cycles_Accts_&amp;_Processes14"/>
      <sheetName val="Fixed_ZBB8"/>
      <sheetName val="Como_Estamos8"/>
      <sheetName val="3_ISo_YTD8"/>
      <sheetName val="E_法规NC8"/>
      <sheetName val="Données_LMU8"/>
      <sheetName val="Brazil_Sovereign8"/>
      <sheetName val="Resumen_Costo8"/>
      <sheetName val="Base_de_Dados8"/>
      <sheetName val="Extract_Loss8"/>
      <sheetName val="5_18"/>
      <sheetName val="QA_跟踪记录表8"/>
      <sheetName val="RG_Depots8"/>
      <sheetName val="material_data8"/>
      <sheetName val="other_data8"/>
      <sheetName val="JOB_PROFILE_-_LAS8"/>
      <sheetName val="Database_(RUR)Mar_YTD8"/>
      <sheetName val="SKU_Mapping8"/>
      <sheetName val="Drop_Down8"/>
      <sheetName val="Raw_Data8"/>
      <sheetName val="EBM-2_GHQ8"/>
      <sheetName val="Base_PEF9"/>
      <sheetName val="Testing_Template_Guidance8"/>
      <sheetName val="Test_Programs8"/>
      <sheetName val="Controls_data10"/>
      <sheetName val="Dados_BLP8"/>
      <sheetName val="FJJX_Bud_IB7"/>
      <sheetName val="ARdistr_(2)8"/>
      <sheetName val="look-up_data7"/>
      <sheetName val="Prd_Hierarchy(产品层级)7"/>
      <sheetName val="Com_(2PK)7"/>
      <sheetName val="요일_테이블8"/>
      <sheetName val="요일_테이블_(2)7"/>
      <sheetName val="Prd_Hierarchy(产品层次)7"/>
      <sheetName val="Project_Code7"/>
      <sheetName val="전사_PL9"/>
      <sheetName val="자금_제외_PL9"/>
      <sheetName val="자금_PL9"/>
      <sheetName val="전사_BS9"/>
      <sheetName val="자금_제외_BS9"/>
      <sheetName val="자금_BS9"/>
      <sheetName val="BS_계정_설명9"/>
      <sheetName val="_Cash_Flow(전사)9"/>
      <sheetName val="_Cash_Flow(자금제외)9"/>
      <sheetName val="_Cash_Flow(자금)9"/>
      <sheetName val="ROIC_9"/>
      <sheetName val="인건비_명세9"/>
      <sheetName val="판관비_명세9"/>
      <sheetName val="OH_Cost경비(내역)9"/>
      <sheetName val="OH_Cost경비(배부기준)9"/>
      <sheetName val="기타수지&amp;특별손익_명세9"/>
      <sheetName val="업무연락_(2)8"/>
      <sheetName val="제시_손익계산서8"/>
      <sheetName val="01_02월_성과급9"/>
      <sheetName val="M_7회차_담금_계획8"/>
      <sheetName val="팀별_실적8"/>
      <sheetName val="팀별_실적_(환산)8"/>
      <sheetName val="4__Inj_투자상세내역8"/>
      <sheetName val="3__Blow_투자_상세내역8"/>
      <sheetName val="Process_List8"/>
      <sheetName val="7_(2)8"/>
      <sheetName val="_손익기01_XL7"/>
      <sheetName val="drop_down_list7"/>
      <sheetName val="[손익기01_XL_x005f_x0000__x005f_x0000_DePara7"/>
      <sheetName val="Income_Stmt7"/>
      <sheetName val="Quarterly_LBO_Model7"/>
      <sheetName val="Figures_Report6"/>
      <sheetName val="Set_Up7"/>
      <sheetName val="[손익기01_XL7"/>
      <sheetName val="tab_STATUS_DO_PROCESSO_6"/>
      <sheetName val="_손익기01_XL_x005f_x0000__x005f_x0000_DePara7"/>
      <sheetName val="Perf__Plan__Diário16"/>
      <sheetName val="In_(2)6"/>
      <sheetName val="Fare_prices6"/>
      <sheetName val="Hotel_prices6"/>
      <sheetName val="15년_BL_사계7"/>
      <sheetName val="Classification_分类6"/>
      <sheetName val="1_종합손익(도급)7"/>
      <sheetName val="1_종합손익(주택,개발)7"/>
      <sheetName val="2_실행예산7"/>
      <sheetName val="2_2과부족7"/>
      <sheetName val="2_3원가절감7"/>
      <sheetName val="8_외주비집행현황7"/>
      <sheetName val="9_자재비7"/>
      <sheetName val="10_현장집행7"/>
      <sheetName val="3_추가원가7"/>
      <sheetName val="3_추가원가_(2)7"/>
      <sheetName val="4_사전공사7"/>
      <sheetName val="5_추정공사비7"/>
      <sheetName val="6_금융비용7"/>
      <sheetName val="7_공사비집행현황(총괄)7"/>
      <sheetName val="11_1생산성7"/>
      <sheetName val="11_2인원산출7"/>
      <sheetName val="Clasif_5"/>
      <sheetName val="Cond__Inseguros5"/>
      <sheetName val="Comp__Inseguros5"/>
      <sheetName val="Lista_de_datos5"/>
      <sheetName val="MASTER_APP5"/>
      <sheetName val="CLASIFICACION_DE_AI6"/>
      <sheetName val="Base_da_Datos6"/>
      <sheetName val="__한국_AMP_ASP-23_판매가격__6"/>
      <sheetName val="CC_Down_load_07166"/>
      <sheetName val="변경실행(2차)_6"/>
      <sheetName val="나_출고6"/>
      <sheetName val="나_입고6"/>
      <sheetName val="09년_인건비(속리산)6"/>
      <sheetName val="합산목표(감가+57_5)6"/>
      <sheetName val="제조원가_원단위_분석6"/>
      <sheetName val="종합표양식(품의_&amp;_입고)_26"/>
      <sheetName val="원가관리_(동월대비)6"/>
      <sheetName val="b_balju_(2)6"/>
      <sheetName val="2-2_매출분석6"/>
      <sheetName val="몰드시스템_리스트6"/>
      <sheetName val="11_외화채무증권(AFS,HTM)086"/>
      <sheetName val="13_감액TEST_086"/>
      <sheetName val="12년_CF(9월)6"/>
      <sheetName val="중기조종사_단위단가6"/>
      <sheetName val="6PILE__(돌출)6"/>
      <sheetName val="기성청구_공문6"/>
      <sheetName val="Sheet1_(2)6"/>
      <sheetName val="slide_24_cat_A6"/>
      <sheetName val="slide_82_cat_b6"/>
      <sheetName val="Dados_dos_Produtos6"/>
      <sheetName val="09~10년_매출계획6"/>
      <sheetName val="1_MDF1공장6"/>
      <sheetName val="Incident_유형구분표6"/>
      <sheetName val="3YP2016-Bottom_up5"/>
      <sheetName val="DD_list6"/>
      <sheetName val="Lista_CI5"/>
      <sheetName val="Base_de_Datos5"/>
      <sheetName val="Dashboard_Prevención_Riesgos_4"/>
      <sheetName val="TOP_KPIs_MTM4"/>
      <sheetName val="PLAN_DE_ACCION4"/>
      <sheetName val="Faro_de_Indicadores4"/>
      <sheetName val="2_카드채권(대출포함)5"/>
      <sheetName val="表21_净利润调节表5"/>
      <sheetName val="DETALLE_MENSUAL4"/>
      <sheetName val="Farol_Acciones5"/>
      <sheetName val="FornecM_Check4"/>
      <sheetName val="Unidades_SAC-REVENDA6"/>
      <sheetName val="Lista_de_Entrenamientos5"/>
      <sheetName val="Supply_Cost_Centers5"/>
      <sheetName val="Estratificación_AI4"/>
      <sheetName val="condicion_inseguras4"/>
      <sheetName val="Actos_Inseguros4"/>
      <sheetName val="Control_de_incidentes4"/>
      <sheetName val="Plan_de_Acción4"/>
      <sheetName val="_DD_List5"/>
      <sheetName val="Share_Price_20025"/>
      <sheetName val="Grafica_Actos4"/>
      <sheetName val="Condiciones_SyE4"/>
      <sheetName val="REALxMETA_-_CERVEJA6"/>
      <sheetName val="REALxMETA_-_REFRI6"/>
      <sheetName val="BEP_加薪_KPI4"/>
      <sheetName val="[손익기01_XL??DePara4"/>
      <sheetName val="Farol_Metas4"/>
      <sheetName val="Mod_Relac_4"/>
      <sheetName val="Issues_List_Payments4"/>
      <sheetName val="Directrices_de_Metas_20174"/>
      <sheetName val="POC_LIST4"/>
      <sheetName val="Entity_Target4"/>
      <sheetName val="F08_-_Asia_Pac_Full_Year_Q35"/>
      <sheetName val="Top_Priorities5"/>
      <sheetName val="Listco_Stock5"/>
      <sheetName val="Intl_Purchase5"/>
      <sheetName val="FY_outlook5"/>
      <sheetName val="CY_outlook5"/>
      <sheetName val="Cash_metrics5"/>
      <sheetName val="P6_75"/>
      <sheetName val="DATOS_BASE4"/>
      <sheetName val="Hazards_Analysis-隐患分析4"/>
      <sheetName val="_손익기01_XL_x005f_x005f_x005f_x0000__x005f_x005f_x4"/>
      <sheetName val="SKU_Basic_Data4"/>
      <sheetName val="97_사업추정(WEKI)4"/>
      <sheetName val="Tong_hop4"/>
      <sheetName val="95_1_1이후취득자산(숨기기상태)4"/>
      <sheetName val="sum1_(2)4"/>
      <sheetName val="3_바닥판설계4"/>
      <sheetName val="6월_공정외주4"/>
      <sheetName val="2_대외공문4"/>
      <sheetName val="2_총괄표4"/>
      <sheetName val="입출재고현황_(2)4"/>
      <sheetName val="504전기실_동부하-L4"/>
      <sheetName val="OUTER_AREA(겹침없음)4"/>
      <sheetName val="EL_표면적4"/>
      <sheetName val="TRE_TABLE4"/>
      <sheetName val="입찰내역_발주처_양식4"/>
      <sheetName val="ACTOS_POR_RIESGO2"/>
      <sheetName val="do_not_delete4"/>
      <sheetName val="Check_Qualidade2"/>
      <sheetName val="De_Para3"/>
      <sheetName val="Nombre_de_SOP2"/>
      <sheetName val="drop_lists2"/>
      <sheetName val="APAC_S4"/>
      <sheetName val="APAC_N4"/>
      <sheetName val="Slide_output4"/>
      <sheetName val="turnover_reason퇴직사유4"/>
      <sheetName val="Data_validation4"/>
      <sheetName val="MRL_NON_SUPPLY_URU2"/>
      <sheetName val="Drop-down_List3"/>
      <sheetName val="by_DD3"/>
      <sheetName val="VALIDACION_DE_DATOS3"/>
      <sheetName val="Jul-Sep_Actual_cost_(2)3"/>
      <sheetName val="Check_Aderencia2"/>
      <sheetName val="Base_Farol2"/>
      <sheetName val="Gerencial_IL2"/>
      <sheetName val="Ventas_Campo2"/>
      <sheetName val="AIIM_-_Empresas_Ext_20122"/>
      <sheetName val="KPIs_Hana2"/>
      <sheetName val="Catalago_de_refacciones_2"/>
      <sheetName val="Existencias_al_07-Nov-20122"/>
      <sheetName val="Check_GG2"/>
      <sheetName val="Ta_2"/>
      <sheetName val="2__Indicadores2"/>
      <sheetName val="_손익기01_XL_x005f_x0000__x02"/>
      <sheetName val="부재료_비교(11년_vs_10년)2"/>
      <sheetName val="Sheet3_(2)2"/>
      <sheetName val="Lao_&amp;_Cam2"/>
      <sheetName val="Hoegaarden_20192"/>
      <sheetName val="Lao_&amp;_Cam_20192"/>
      <sheetName val="Malaysia_20192"/>
      <sheetName val="Singapore_20192"/>
      <sheetName val="Sheet2_(2)2"/>
      <sheetName val="Comp_Inseguros1"/>
      <sheetName val="Lista_de_Entrenamientos_RSO2"/>
      <sheetName val="_mngt_Pillar2"/>
      <sheetName val="Tablero_SDG5"/>
      <sheetName val="Lista_Areas5"/>
      <sheetName val="One_Page5"/>
      <sheetName val="Sub-Productos_HN3"/>
      <sheetName val="Eficiencia_linea2"/>
      <sheetName val="Pauta_RPS_Distribuição1"/>
      <sheetName val="Estoque_(2)1"/>
      <sheetName val="요일_테이블_2"/>
      <sheetName val="Other_Listings2"/>
      <sheetName val="BNR_2012_в_ящике1"/>
      <sheetName val="FX_Rates"/>
      <sheetName val="Vagas_x_Candidatos"/>
      <sheetName val="DO_NOT_MOVE1"/>
      <sheetName val="DATOS_DE_VALIDACIÓN1"/>
      <sheetName val="Datos_con1"/>
      <sheetName val="_Datos_Cond_1"/>
      <sheetName val="INGRESO_(2)1"/>
      <sheetName val="PG-K1610_(UEN_Areas)MNG1"/>
      <sheetName val="DATOS_GEN_1"/>
      <sheetName val="NUEVOS_CRITERIOS1"/>
      <sheetName val="Condiciones_Agua1"/>
      <sheetName val="__한국_AMP_ASP-23_판㧤가격__"/>
      <sheetName val="11_䡸화채무줝ⴌ(AFS,HTM)08"/>
      <sheetName val="Drop_list"/>
      <sheetName val="Dropdown_list"/>
      <sheetName val="Proced_"/>
      <sheetName val="Control_de_Fallas"/>
      <sheetName val="Setup_for_Templates"/>
      <sheetName val="Datos_emp"/>
      <sheetName val="TIPO_DE_ACTO"/>
      <sheetName val="%_cumplimiento_"/>
      <sheetName val="%_CUMPLIMIENTO"/>
      <sheetName val="Listas_y_equipos_a_evaluar"/>
      <sheetName val="CRITICIDAD_DE_CI"/>
      <sheetName val="Catálogo_de_CI"/>
      <sheetName val="Data_Reporte"/>
      <sheetName val="Read_me"/>
      <sheetName val="Validation_lists"/>
      <sheetName val="Cut_Machine_Summary"/>
      <sheetName val="Daily_Dashboard"/>
      <sheetName val="Champions List"/>
      <sheetName val="YTD_Summary16"/>
      <sheetName val="Month_Summary16"/>
      <sheetName val="Trial_Balance_MAY_200916"/>
      <sheetName val="TB_Pivot16"/>
      <sheetName val="total_per_LB_LB216"/>
      <sheetName val="Trial_Balance_Vlookup16"/>
      <sheetName val="Trial_Balance_APRIL_200916"/>
      <sheetName val="TO_Data_Base17"/>
      <sheetName val="Roll_Out_AQ16"/>
      <sheetName val="Evolução_mandamentos16"/>
      <sheetName val="Planilha_resultados15"/>
      <sheetName val="Historico_200315"/>
      <sheetName val="Sig_Cycles_Accts_&amp;_Processes15"/>
      <sheetName val="Fixed_ZBB9"/>
      <sheetName val="3_ISo_YTD9"/>
      <sheetName val="E_法规NC9"/>
      <sheetName val="Données_LMU9"/>
      <sheetName val="Brazil_Sovereign9"/>
      <sheetName val="Resumen_Costo9"/>
      <sheetName val="Extract_Loss9"/>
      <sheetName val="QA_跟踪记录表9"/>
      <sheetName val="5_19"/>
      <sheetName val="Como_Estamos9"/>
      <sheetName val="Base_de_Dados9"/>
      <sheetName val="RG_Depots9"/>
      <sheetName val="material_data9"/>
      <sheetName val="other_data9"/>
      <sheetName val="Database_(RUR)Mar_YTD9"/>
      <sheetName val="SKU_Mapping9"/>
      <sheetName val="Drop_Down9"/>
      <sheetName val="Raw_Data9"/>
      <sheetName val="EBM-2_GHQ9"/>
      <sheetName val="Base_PEF10"/>
      <sheetName val="Testing_Template_Guidance9"/>
      <sheetName val="Test_Programs9"/>
      <sheetName val="Controls_data11"/>
      <sheetName val="Dados_BLP9"/>
      <sheetName val="ARdistr_(2)9"/>
      <sheetName val="FJJX_Bud_IB8"/>
      <sheetName val="look-up_data8"/>
      <sheetName val="Prd_Hierarchy(产品层级)8"/>
      <sheetName val="Com_(2PK)8"/>
      <sheetName val="JOB_PROFILE_-_LAS9"/>
      <sheetName val="요일_테이블9"/>
      <sheetName val="요일_테이블_(2)8"/>
      <sheetName val="Prd_Hierarchy(产品层次)8"/>
      <sheetName val="Project_Code8"/>
      <sheetName val="전사_PL10"/>
      <sheetName val="자금_제외_PL10"/>
      <sheetName val="자금_PL10"/>
      <sheetName val="전사_BS10"/>
      <sheetName val="자금_제외_BS10"/>
      <sheetName val="자금_BS10"/>
      <sheetName val="BS_계정_설명10"/>
      <sheetName val="_Cash_Flow(전사)10"/>
      <sheetName val="_Cash_Flow(자금제외)10"/>
      <sheetName val="_Cash_Flow(자금)10"/>
      <sheetName val="ROIC_10"/>
      <sheetName val="인건비_명세10"/>
      <sheetName val="판관비_명세10"/>
      <sheetName val="OH_Cost경비(내역)10"/>
      <sheetName val="OH_Cost경비(배부기준)10"/>
      <sheetName val="기타수지&amp;특별손익_명세10"/>
      <sheetName val="업무연락_(2)9"/>
      <sheetName val="제시_손익계산서9"/>
      <sheetName val="01_02월_성과급10"/>
      <sheetName val="M_7회차_담금_계획9"/>
      <sheetName val="팀별_실적9"/>
      <sheetName val="팀별_실적_(환산)9"/>
      <sheetName val="4__Inj_투자상세내역9"/>
      <sheetName val="3__Blow_투자_상세내역9"/>
      <sheetName val="Process_List9"/>
      <sheetName val="7_(2)9"/>
      <sheetName val="_손익기01_XL8"/>
      <sheetName val="Income_Stmt8"/>
      <sheetName val="drop_down_list8"/>
      <sheetName val="Figures_Report7"/>
      <sheetName val="[손익기01_XL_x005f_x0000__x005f_x0000_DePara8"/>
      <sheetName val="Quarterly_LBO_Model8"/>
      <sheetName val="[손익기01_XL8"/>
      <sheetName val="_손익기01_XL_x005f_x0000__x005f_x0000_DePara8"/>
      <sheetName val="15년_BL_사계8"/>
      <sheetName val="1_종합손익(도급)8"/>
      <sheetName val="1_종합손익(주택,개발)8"/>
      <sheetName val="2_실행예산8"/>
      <sheetName val="2_2과부족8"/>
      <sheetName val="2_3원가절감8"/>
      <sheetName val="8_외주비집행현황8"/>
      <sheetName val="9_자재비8"/>
      <sheetName val="10_현장집행8"/>
      <sheetName val="3_추가원가8"/>
      <sheetName val="3_추가원가_(2)8"/>
      <sheetName val="4_사전공사8"/>
      <sheetName val="5_추정공사비8"/>
      <sheetName val="6_금융비용8"/>
      <sheetName val="7_공사비집행현황(총괄)8"/>
      <sheetName val="11_1생산성8"/>
      <sheetName val="11_2인원산출8"/>
      <sheetName val="Classification_分类7"/>
      <sheetName val="Set_Up8"/>
      <sheetName val="Fare_prices7"/>
      <sheetName val="Hotel_prices7"/>
      <sheetName val="tab_STATUS_DO_PROCESSO_7"/>
      <sheetName val="Perf__Plan__Diário17"/>
      <sheetName val="In_(2)7"/>
      <sheetName val="__한국_AMP_ASP-23_판매가격__7"/>
      <sheetName val="CC_Down_load_07167"/>
      <sheetName val="변경실행(2차)_7"/>
      <sheetName val="나_출고7"/>
      <sheetName val="나_입고7"/>
      <sheetName val="09년_인건비(속리산)7"/>
      <sheetName val="합산목표(감가+57_5)7"/>
      <sheetName val="제조원가_원단위_분석7"/>
      <sheetName val="종합표양식(품의_&amp;_입고)_27"/>
      <sheetName val="원가관리_(동월대비)7"/>
      <sheetName val="b_balju_(2)7"/>
      <sheetName val="2-2_매출분석7"/>
      <sheetName val="몰드시스템_리스트7"/>
      <sheetName val="11_외화채무증권(AFS,HTM)087"/>
      <sheetName val="13_감액TEST_087"/>
      <sheetName val="12년_CF(9월)7"/>
      <sheetName val="중기조종사_단위단가7"/>
      <sheetName val="6PILE__(돌출)7"/>
      <sheetName val="기성청구_공문7"/>
      <sheetName val="Sheet1_(2)7"/>
      <sheetName val="CLASIFICACION_DE_AI7"/>
      <sheetName val="Base_da_Datos7"/>
      <sheetName val="slide_24_cat_A7"/>
      <sheetName val="slide_82_cat_b7"/>
      <sheetName val="Dados_dos_Produtos7"/>
      <sheetName val="09~10년_매출계획7"/>
      <sheetName val="1_MDF1공장7"/>
      <sheetName val="Incident_유형구분표7"/>
      <sheetName val="3YP2016-Bottom_up6"/>
      <sheetName val="DD_list7"/>
      <sheetName val="Base_de_Datos6"/>
      <sheetName val="Supply_Cost_Centers6"/>
      <sheetName val="2_카드채권(대출포함)6"/>
      <sheetName val="表21_净利润调节表6"/>
      <sheetName val="Cond__Inseguros6"/>
      <sheetName val="Comp__Inseguros6"/>
      <sheetName val="Lista_de_datos6"/>
      <sheetName val="MASTER_APP6"/>
      <sheetName val="Clasif_6"/>
      <sheetName val="Farol_Acciones6"/>
      <sheetName val="Lista_de_Entrenamientos6"/>
      <sheetName val="Unidades_SAC-REVENDA7"/>
      <sheetName val="FornecM_Check5"/>
      <sheetName val="Lista_CI6"/>
      <sheetName val="Estratificación_AI5"/>
      <sheetName val="condicion_inseguras5"/>
      <sheetName val="Actos_Inseguros5"/>
      <sheetName val="Control_de_incidentes5"/>
      <sheetName val="Plan_de_Acción5"/>
      <sheetName val="_DD_List6"/>
      <sheetName val="Share_Price_20026"/>
      <sheetName val="Issues_List_Payments5"/>
      <sheetName val="BEP_加薪_KPI5"/>
      <sheetName val="Faro_de_Indicadores5"/>
      <sheetName val="TOP_KPIs_MTM5"/>
      <sheetName val="PLAN_DE_ACCION5"/>
      <sheetName val="Grafica_Actos5"/>
      <sheetName val="POC_LIST5"/>
      <sheetName val="Dashboard_Prevención_Riesgos_5"/>
      <sheetName val="APAC_S5"/>
      <sheetName val="APAC_N5"/>
      <sheetName val="Slide_output5"/>
      <sheetName val="do_not_delete5"/>
      <sheetName val="[손익기01_XL??DePara5"/>
      <sheetName val="Farol_Metas5"/>
      <sheetName val="Mod_Relac_5"/>
      <sheetName val="Condiciones_SyE5"/>
      <sheetName val="REALxMETA_-_CERVEJA7"/>
      <sheetName val="REALxMETA_-_REFRI7"/>
      <sheetName val="Directrices_de_Metas_20175"/>
      <sheetName val="F08_-_Asia_Pac_Full_Year_Q36"/>
      <sheetName val="Top_Priorities6"/>
      <sheetName val="Listco_Stock6"/>
      <sheetName val="Intl_Purchase6"/>
      <sheetName val="FY_outlook6"/>
      <sheetName val="CY_outlook6"/>
      <sheetName val="Cash_metrics6"/>
      <sheetName val="P6_76"/>
      <sheetName val="DATOS_BASE5"/>
      <sheetName val="DETALLE_MENSUAL5"/>
      <sheetName val="Entity_Target5"/>
      <sheetName val="VALIDACION_DE_DATOS4"/>
      <sheetName val="_손익기01_XL_x005f_x005f_x005f_x0000__x005f_x005f_x5"/>
      <sheetName val="Hazards_Analysis-隐患分析5"/>
      <sheetName val="97_사업추정(WEKI)5"/>
      <sheetName val="Tong_hop5"/>
      <sheetName val="95_1_1이후취득자산(숨기기상태)5"/>
      <sheetName val="sum1_(2)5"/>
      <sheetName val="3_바닥판설계5"/>
      <sheetName val="6월_공정외주5"/>
      <sheetName val="2_대외공문5"/>
      <sheetName val="2_총괄표5"/>
      <sheetName val="입출재고현황_(2)5"/>
      <sheetName val="504전기실_동부하-L5"/>
      <sheetName val="OUTER_AREA(겹침없음)5"/>
      <sheetName val="EL_표면적5"/>
      <sheetName val="TRE_TABLE5"/>
      <sheetName val="입찰내역_발주처_양식5"/>
      <sheetName val="Data_validation5"/>
      <sheetName val="turnover_reason퇴직사유5"/>
      <sheetName val="SKU_Basic_Data5"/>
      <sheetName val="Jul-Sep_Actual_cost_(2)4"/>
      <sheetName val="Drop-down_List4"/>
      <sheetName val="by_DD4"/>
      <sheetName val="Check_Qualidade3"/>
      <sheetName val="Check_Aderencia3"/>
      <sheetName val="De_Para4"/>
      <sheetName val="Base_Farol3"/>
      <sheetName val="Gerencial_IL3"/>
      <sheetName val="Ventas_Campo3"/>
      <sheetName val="ACTOS_POR_RIESGO3"/>
      <sheetName val="drop_lists3"/>
      <sheetName val="MRL_NON_SUPPLY_URU3"/>
      <sheetName val="AIIM_-_Empresas_Ext_20123"/>
      <sheetName val="KPIs_Hana3"/>
      <sheetName val="Catalago_de_refacciones_3"/>
      <sheetName val="Existencias_al_07-Nov-20123"/>
      <sheetName val="Check_GG3"/>
      <sheetName val="Nombre_de_SOP3"/>
      <sheetName val="Ta_3"/>
      <sheetName val="2__Indicadores3"/>
      <sheetName val="부재료_비교(11년_vs_10년)3"/>
      <sheetName val="_손익기01_XL_x005f_x0000__x03"/>
      <sheetName val="_mngt_Pillar3"/>
      <sheetName val="Sheet3_(2)3"/>
      <sheetName val="Lista_de_Entrenamientos_RSO3"/>
      <sheetName val="Tablero_SDG6"/>
      <sheetName val="Lista_Areas6"/>
      <sheetName val="One_Page6"/>
      <sheetName val="Sub-Productos_HN4"/>
      <sheetName val="Eficiencia_linea3"/>
      <sheetName val="요일_테이블_3"/>
      <sheetName val="Sheet2_(2)3"/>
      <sheetName val="Lao_&amp;_Cam3"/>
      <sheetName val="Hoegaarden_20193"/>
      <sheetName val="Lao_&amp;_Cam_20193"/>
      <sheetName val="Malaysia_20193"/>
      <sheetName val="Singapore_20193"/>
      <sheetName val="Other_Listings3"/>
      <sheetName val="Pauta_RPS_Distribuição2"/>
      <sheetName val="Estoque_(2)2"/>
      <sheetName val="Comp_Inseguros2"/>
      <sheetName val="BNR_2012_в_ящике2"/>
      <sheetName val="DATOS_DE_VALIDACIÓN2"/>
      <sheetName val="Datos_con2"/>
      <sheetName val="_Datos_Cond_2"/>
      <sheetName val="DO_NOT_MOVE2"/>
      <sheetName val="INGRESO_(2)2"/>
      <sheetName val="PG-K1610_(UEN_Areas)MNG2"/>
      <sheetName val="DATOS_GEN_2"/>
      <sheetName val="NUEVOS_CRITERIOS2"/>
      <sheetName val="Condiciones_Agua2"/>
      <sheetName val="Dropdown_list1"/>
      <sheetName val="FX_Rates1"/>
      <sheetName val="Vagas_x_Candidatos1"/>
      <sheetName val="__한국_AMP_ASP-23_판㧤가격__1"/>
      <sheetName val="11_䡸화채무줝ⴌ(AFS,HTM)081"/>
      <sheetName val="Drop_list1"/>
      <sheetName val="Proced_1"/>
      <sheetName val="Control_de_Fallas1"/>
      <sheetName val="Setup_for_Templates1"/>
      <sheetName val="Datos_emp1"/>
      <sheetName val="TIPO_DE_ACTO1"/>
      <sheetName val="%_cumplimiento_1"/>
      <sheetName val="%_CUMPLIMIENTO1"/>
      <sheetName val="Listas_y_equipos_a_evaluar1"/>
      <sheetName val="CRITICIDAD_DE_CI1"/>
      <sheetName val="Catálogo_de_CI1"/>
      <sheetName val="Data_Reporte1"/>
      <sheetName val="Read_me1"/>
      <sheetName val="Validation_lists1"/>
      <sheetName val="Cut_Machine_Summary1"/>
      <sheetName val="Daily_Dashboard1"/>
      <sheetName val="Champions_List"/>
      <sheetName val="Guidelines"/>
      <sheetName val="Instructions"/>
      <sheetName val="NAZ Strategy"/>
      <sheetName val="status"/>
      <sheetName val="CALIFICACIONES 2019"/>
      <sheetName val="Lev 4 360 deg check Crit Task"/>
      <sheetName val="Lev 4 Chk IC Stock Crit Task"/>
      <sheetName val="Lev 4 WMS Putaway Crit Task"/>
      <sheetName val="Final_Summary-All"/>
      <sheetName val="Auxiliary"/>
      <sheetName val="_손익기01_XL_x0000__x1"/>
      <sheetName val="_손익기01_XL_x005f_x0000__x2"/>
      <sheetName val="费用指引"/>
      <sheetName val="进货时间"/>
      <sheetName val="参考字段（不许更改）"/>
      <sheetName val="Mapeo SKUs"/>
      <sheetName val="Vol.(Ds)"/>
      <sheetName val="Vol.(Ka)"/>
      <sheetName val="Vol.(Oth)"/>
      <sheetName val="Vol.(Oth) Cortesias"/>
      <sheetName val="INPUT-$Intervention(Ds)"/>
      <sheetName val="INPUT-ICO"/>
      <sheetName val="INPUT-Cust.Sugg.Margin(Ds)"/>
      <sheetName val="On Invoice"/>
      <sheetName val="INPUT-$Intervention(Ka)"/>
      <sheetName val="INPUT-Cust.Sugg.Margin(Ka)"/>
      <sheetName val="INPUT SKUs"/>
      <sheetName val="清單"/>
      <sheetName val="Brand P&amp;L"/>
      <sheetName val="MALTA"/>
      <sheetName val="SPARK"/>
      <sheetName val="SUPERMONT"/>
      <sheetName val="SUPERMONT P"/>
      <sheetName val="Mapeo_SKUs"/>
      <sheetName val="Vol_(Ds)"/>
      <sheetName val="Vol_(Ka)"/>
      <sheetName val="Vol_(Oth)"/>
      <sheetName val="Vol_(Oth)_Cortesias"/>
      <sheetName val="INPUT-Cust_Sugg_Margin(Ds)"/>
      <sheetName val="On_Invoice"/>
      <sheetName val="INPUT-Cust_Sugg_Margin(Ka)"/>
      <sheetName val="INPUT_SKUs"/>
      <sheetName val="Mapeo_SKUs1"/>
      <sheetName val="Vol_(Ds)1"/>
      <sheetName val="Vol_(Ka)1"/>
      <sheetName val="Vol_(Oth)1"/>
      <sheetName val="Vol_(Oth)_Cortesias1"/>
      <sheetName val="INPUT-Cust_Sugg_Margin(Ds)1"/>
      <sheetName val="On_Invoice1"/>
      <sheetName val="INPUT-Cust_Sugg_Margin(Ka)1"/>
      <sheetName val="INPUT_SKUs1"/>
      <sheetName val="유효성목록"/>
      <sheetName val="Data selection"/>
      <sheetName val="BMU_H"/>
      <sheetName val="1."/>
      <sheetName val="Customer &amp; SO"/>
      <sheetName val="Session Proposal"/>
      <sheetName val="社員リスト"/>
      <sheetName val="数据分类"/>
      <sheetName val="생산성"/>
      <sheetName val="PAR"/>
      <sheetName val="Análise Tempos"/>
      <sheetName val="Incentivo Automóvil"/>
      <sheetName val="Справочник"/>
      <sheetName val="EQR"/>
      <sheetName val="CNQ"/>
      <sheetName val="PDA BOP"/>
      <sheetName val="Referencias"/>
      <sheetName val="Códigos"/>
      <sheetName val="Validação de Dados"/>
      <sheetName val="No llenar "/>
      <sheetName val="PROCESS MD"/>
      <sheetName val="Dropdown Menu"/>
      <sheetName val="Territory"/>
      <sheetName val="MMR12活动类型"/>
      <sheetName val="经销商"/>
      <sheetName val="Region"/>
      <sheetName val="SalesPkg_TR_KHCode_TR_KHCode"/>
      <sheetName val="填写内容参考"/>
      <sheetName val="Project List"/>
      <sheetName val="Выпадающие списки"/>
      <sheetName val="Списки"/>
      <sheetName val="Lista de Motivos"/>
      <sheetName val="Ponto Crítico - Resp. Plano"/>
      <sheetName val="Lista Funcionários (2)"/>
      <sheetName val="PIRÂMIDE"/>
      <sheetName val="0-info"/>
      <sheetName val="FAI分析"/>
      <sheetName val="미관리업소"/>
      <sheetName val="유류대 현황"/>
      <sheetName val="정평화"/>
      <sheetName val="김익성"/>
      <sheetName val="최일수"/>
      <sheetName val="정원구"/>
      <sheetName val="문공식"/>
      <sheetName val="박현일"/>
      <sheetName val="김진생"/>
      <sheetName val="Overdue(Feb)"/>
      <sheetName val="Overdue(Jan)"/>
      <sheetName val="취합"/>
      <sheetName val="PN+Extension"/>
      <sheetName val="Consolidator"/>
      <sheetName val="2.3 Projects Status"/>
      <sheetName val="YTD_Summary17"/>
      <sheetName val="Month_Summary17"/>
      <sheetName val="Trial_Balance_MAY_200917"/>
      <sheetName val="TB_Pivot17"/>
      <sheetName val="total_per_LB_LB217"/>
      <sheetName val="Trial_Balance_Vlookup17"/>
      <sheetName val="Trial_Balance_APRIL_200917"/>
      <sheetName val="TO_Data_Base18"/>
      <sheetName val="Roll_Out_AQ17"/>
      <sheetName val="Evolução_mandamentos17"/>
      <sheetName val="Planilha_resultados16"/>
      <sheetName val="Historico_200316"/>
      <sheetName val="Sig_Cycles_Accts_&amp;_Processes16"/>
      <sheetName val="Fixed_ZBB10"/>
      <sheetName val="3_ISo_YTD10"/>
      <sheetName val="E_法规NC10"/>
      <sheetName val="Données_LMU10"/>
      <sheetName val="Brazil_Sovereign10"/>
      <sheetName val="Resumen_Costo10"/>
      <sheetName val="Extract_Loss10"/>
      <sheetName val="QA_跟踪记录表10"/>
      <sheetName val="5_110"/>
      <sheetName val="Como_Estamos10"/>
      <sheetName val="Base_de_Dados10"/>
      <sheetName val="RG_Depots10"/>
      <sheetName val="material_data10"/>
      <sheetName val="other_data10"/>
      <sheetName val="Database_(RUR)Mar_YTD10"/>
      <sheetName val="SKU_Mapping10"/>
      <sheetName val="Drop_Down10"/>
      <sheetName val="Raw_Data10"/>
      <sheetName val="EBM-2_GHQ10"/>
      <sheetName val="Base_PEF11"/>
      <sheetName val="Testing_Template_Guidance10"/>
      <sheetName val="Test_Programs10"/>
      <sheetName val="Controls_data12"/>
      <sheetName val="Dados_BLP10"/>
      <sheetName val="ARdistr_(2)10"/>
      <sheetName val="FJJX_Bud_IB9"/>
      <sheetName val="look-up_data9"/>
      <sheetName val="Prd_Hierarchy(产品层级)9"/>
      <sheetName val="Com_(2PK)9"/>
      <sheetName val="JOB_PROFILE_-_LAS10"/>
      <sheetName val="요일_테이블10"/>
      <sheetName val="요일_테이블_(2)9"/>
      <sheetName val="Prd_Hierarchy(产品层次)9"/>
      <sheetName val="Project_Code9"/>
      <sheetName val="전사_PL11"/>
      <sheetName val="자금_제외_PL11"/>
      <sheetName val="자금_PL11"/>
      <sheetName val="전사_BS11"/>
      <sheetName val="자금_제외_BS11"/>
      <sheetName val="자금_BS11"/>
      <sheetName val="BS_계정_설명11"/>
      <sheetName val="_Cash_Flow(전사)11"/>
      <sheetName val="_Cash_Flow(자금제외)11"/>
      <sheetName val="_Cash_Flow(자금)11"/>
      <sheetName val="ROIC_11"/>
      <sheetName val="인건비_명세11"/>
      <sheetName val="판관비_명세11"/>
      <sheetName val="OH_Cost경비(내역)11"/>
      <sheetName val="OH_Cost경비(배부기준)11"/>
      <sheetName val="기타수지&amp;특별손익_명세11"/>
      <sheetName val="업무연락_(2)10"/>
      <sheetName val="제시_손익계산서10"/>
      <sheetName val="01_02월_성과급11"/>
      <sheetName val="M_7회차_담금_계획10"/>
      <sheetName val="팀별_실적10"/>
      <sheetName val="팀별_실적_(환산)10"/>
      <sheetName val="4__Inj_투자상세내역10"/>
      <sheetName val="3__Blow_투자_상세내역10"/>
      <sheetName val="Process_List10"/>
      <sheetName val="7_(2)10"/>
      <sheetName val="_손익기01_XL9"/>
      <sheetName val="Income_Stmt9"/>
      <sheetName val="drop_down_list9"/>
      <sheetName val="Figures_Report8"/>
      <sheetName val="[손익기01_XL_x005f_x0000__x005f_x0000_DePara9"/>
      <sheetName val="Quarterly_LBO_Model9"/>
      <sheetName val="[손익기01_XL9"/>
      <sheetName val="_손익기01_XL_x005f_x0000__x005f_x0000_DePara9"/>
      <sheetName val="15년_BL_사계9"/>
      <sheetName val="1_종합손익(도급)9"/>
      <sheetName val="1_종합손익(주택,개발)9"/>
      <sheetName val="2_실행예산9"/>
      <sheetName val="2_2과부족9"/>
      <sheetName val="2_3원가절감9"/>
      <sheetName val="8_외주비집행현황9"/>
      <sheetName val="9_자재비9"/>
      <sheetName val="10_현장집행9"/>
      <sheetName val="3_추가원가9"/>
      <sheetName val="3_추가원가_(2)9"/>
      <sheetName val="4_사전공사9"/>
      <sheetName val="5_추정공사비9"/>
      <sheetName val="6_금융비용9"/>
      <sheetName val="7_공사비집행현황(총괄)9"/>
      <sheetName val="11_1생산성9"/>
      <sheetName val="11_2인원산출9"/>
      <sheetName val="Classification_分类8"/>
      <sheetName val="Set_Up9"/>
      <sheetName val="Fare_prices8"/>
      <sheetName val="Hotel_prices8"/>
      <sheetName val="tab_STATUS_DO_PROCESSO_8"/>
      <sheetName val="Perf__Plan__Diário18"/>
      <sheetName val="In_(2)8"/>
      <sheetName val="__한국_AMP_ASP-23_판매가격__8"/>
      <sheetName val="CC_Down_load_07168"/>
      <sheetName val="변경실행(2차)_8"/>
      <sheetName val="나_출고8"/>
      <sheetName val="나_입고8"/>
      <sheetName val="09년_인건비(속리산)8"/>
      <sheetName val="합산목표(감가+57_5)8"/>
      <sheetName val="제조원가_원단위_분석8"/>
      <sheetName val="종합표양식(품의_&amp;_입고)_28"/>
      <sheetName val="원가관리_(동월대비)8"/>
      <sheetName val="b_balju_(2)8"/>
      <sheetName val="2-2_매출분석8"/>
      <sheetName val="몰드시스템_리스트8"/>
      <sheetName val="11_외화채무증권(AFS,HTM)088"/>
      <sheetName val="13_감액TEST_088"/>
      <sheetName val="12년_CF(9월)8"/>
      <sheetName val="중기조종사_단위단가8"/>
      <sheetName val="6PILE__(돌출)8"/>
      <sheetName val="기성청구_공문8"/>
      <sheetName val="Sheet1_(2)8"/>
      <sheetName val="CLASIFICACION_DE_AI8"/>
      <sheetName val="Base_da_Datos8"/>
      <sheetName val="slide_24_cat_A8"/>
      <sheetName val="slide_82_cat_b8"/>
      <sheetName val="Dados_dos_Produtos8"/>
      <sheetName val="09~10년_매출계획8"/>
      <sheetName val="1_MDF1공장8"/>
      <sheetName val="Incident_유형구분표8"/>
      <sheetName val="3YP2016-Bottom_up7"/>
      <sheetName val="DD_list8"/>
      <sheetName val="Base_de_Datos7"/>
      <sheetName val="2_카드채권(대출포함)7"/>
      <sheetName val="表21_净利润调节表7"/>
      <sheetName val="MASTER_APP7"/>
      <sheetName val="Cond__Inseguros7"/>
      <sheetName val="Comp__Inseguros7"/>
      <sheetName val="Lista_de_datos7"/>
      <sheetName val="Supply_Cost_Centers7"/>
      <sheetName val="Clasif_7"/>
      <sheetName val="Farol_Acciones7"/>
      <sheetName val="Lista_de_Entrenamientos7"/>
      <sheetName val="Unidades_SAC-REVENDA8"/>
      <sheetName val="FornecM_Check6"/>
      <sheetName val="Lista_CI7"/>
      <sheetName val="Estratificación_AI6"/>
      <sheetName val="condicion_inseguras6"/>
      <sheetName val="Actos_Inseguros6"/>
      <sheetName val="Control_de_incidentes6"/>
      <sheetName val="Plan_de_Acción6"/>
      <sheetName val="_DD_List7"/>
      <sheetName val="Share_Price_20027"/>
      <sheetName val="BEP_加薪_KPI6"/>
      <sheetName val="F08_-_Asia_Pac_Full_Year_Q37"/>
      <sheetName val="Top_Priorities7"/>
      <sheetName val="Listco_Stock7"/>
      <sheetName val="Intl_Purchase7"/>
      <sheetName val="FY_outlook7"/>
      <sheetName val="CY_outlook7"/>
      <sheetName val="Cash_metrics7"/>
      <sheetName val="P6_77"/>
      <sheetName val="DATOS_BASE6"/>
      <sheetName val="Issues_List_Payments6"/>
      <sheetName val="Faro_de_Indicadores6"/>
      <sheetName val="TOP_KPIs_MTM6"/>
      <sheetName val="PLAN_DE_ACCION6"/>
      <sheetName val="Grafica_Actos6"/>
      <sheetName val="POC_LIST6"/>
      <sheetName val="Dashboard_Prevención_Riesgos_6"/>
      <sheetName val="APAC_S6"/>
      <sheetName val="APAC_N6"/>
      <sheetName val="Slide_output6"/>
      <sheetName val="do_not_delete6"/>
      <sheetName val="[손익기01_XL??DePara6"/>
      <sheetName val="Farol_Metas6"/>
      <sheetName val="Mod_Relac_6"/>
      <sheetName val="Condiciones_SyE6"/>
      <sheetName val="REALxMETA_-_CERVEJA8"/>
      <sheetName val="REALxMETA_-_REFRI8"/>
      <sheetName val="Directrices_de_Metas_20176"/>
      <sheetName val="DETALLE_MENSUAL6"/>
      <sheetName val="Entity_Target6"/>
      <sheetName val="VALIDACION_DE_DATOS5"/>
      <sheetName val="_손익기01_XL_x005f_x005f_x005f_x0000__x005f_x005f_x6"/>
      <sheetName val="Hazards_Analysis-隐患分析6"/>
      <sheetName val="97_사업추정(WEKI)6"/>
      <sheetName val="Tong_hop6"/>
      <sheetName val="95_1_1이후취득자산(숨기기상태)6"/>
      <sheetName val="sum1_(2)6"/>
      <sheetName val="3_바닥판설계6"/>
      <sheetName val="6월_공정외주6"/>
      <sheetName val="2_대외공문6"/>
      <sheetName val="2_총괄표6"/>
      <sheetName val="架构"/>
      <sheetName val="库存模板"/>
      <sheetName val="陈列明细"/>
      <sheetName val="目标SKU"/>
      <sheetName val="Backup"/>
      <sheetName val="mapping (2)"/>
      <sheetName val="Ref."/>
      <sheetName val="折扣类型"/>
      <sheetName val="订单追踪_信阳市区_0825"/>
      <sheetName val="匹配"/>
      <sheetName val="Data_validation6"/>
      <sheetName val="입출재고현황_(2)6"/>
      <sheetName val="504전기실_동부하-L6"/>
      <sheetName val="OUTER_AREA(겹침없음)6"/>
      <sheetName val="EL_표면적6"/>
      <sheetName val="TRE_TABLE6"/>
      <sheetName val="입찰내역_발주처_양식6"/>
      <sheetName val="turnover_reason퇴직사유6"/>
      <sheetName val="SKU_Basic_Data6"/>
      <sheetName val="Check_Qualidade4"/>
      <sheetName val="De_Para5"/>
      <sheetName val="Check_Aderencia4"/>
      <sheetName val="Drop-down_List5"/>
      <sheetName val="by_DD5"/>
      <sheetName val="Jul-Sep_Actual_cost_(2)5"/>
      <sheetName val="Base_Farol4"/>
      <sheetName val="Gerencial_IL4"/>
      <sheetName val="Ventas_Campo4"/>
      <sheetName val="ACTOS_POR_RIESGO4"/>
      <sheetName val="drop_lists4"/>
      <sheetName val="MRL_NON_SUPPLY_URU4"/>
      <sheetName val="AIIM_-_Empresas_Ext_20124"/>
      <sheetName val="KPIs_Hana4"/>
      <sheetName val="Catalago_de_refacciones_4"/>
      <sheetName val="Existencias_al_07-Nov-20124"/>
      <sheetName val="Check_GG4"/>
      <sheetName val="Nombre_de_SOP4"/>
      <sheetName val="NAZ_Strategy"/>
      <sheetName val="Ta_4"/>
      <sheetName val="2__Indicadores4"/>
      <sheetName val="부재료_비교(11년_vs_10년)4"/>
      <sheetName val="_손익기01_XL_x005f_x0000__x04"/>
      <sheetName val="Lista_de_Entrenamientos_RSO4"/>
      <sheetName val="Tablero_SDG7"/>
      <sheetName val="Lista_Areas7"/>
      <sheetName val="One_Page7"/>
      <sheetName val="Sub-Productos_HN5"/>
      <sheetName val="Eficiencia_linea4"/>
      <sheetName val="_mngt_Pillar4"/>
      <sheetName val="Sheet3_(2)4"/>
      <sheetName val="요일_테이블_4"/>
      <sheetName val="Sheet2_(2)4"/>
      <sheetName val="Lao_&amp;_Cam4"/>
      <sheetName val="Hoegaarden_20194"/>
      <sheetName val="Lao_&amp;_Cam_20194"/>
      <sheetName val="Malaysia_20194"/>
      <sheetName val="Singapore_20194"/>
      <sheetName val="Other_Listings4"/>
      <sheetName val="Pauta_RPS_Distribuição3"/>
      <sheetName val="Estoque_(2)3"/>
      <sheetName val="Comp_Inseguros3"/>
      <sheetName val="BNR_2012_в_ящике3"/>
      <sheetName val="DATOS_DE_VALIDACIÓN3"/>
      <sheetName val="Datos_con3"/>
      <sheetName val="_Datos_Cond_3"/>
      <sheetName val="DO_NOT_MOVE3"/>
      <sheetName val="INGRESO_(2)3"/>
      <sheetName val="PG-K1610_(UEN_Areas)MNG3"/>
      <sheetName val="DATOS_GEN_3"/>
      <sheetName val="NUEVOS_CRITERIOS3"/>
      <sheetName val="Condiciones_Agua3"/>
      <sheetName val="Dropdown_list2"/>
      <sheetName val="Proced_2"/>
      <sheetName val="Drop_list2"/>
      <sheetName val="FX_Rates2"/>
      <sheetName val="Vagas_x_Candidatos2"/>
      <sheetName val="__한국_AMP_ASP-23_판㧤가격__2"/>
      <sheetName val="11_䡸화채무줝ⴌ(AFS,HTM)082"/>
      <sheetName val="Control_de_Fallas2"/>
      <sheetName val="Setup_for_Templates2"/>
      <sheetName val="Datos_emp2"/>
      <sheetName val="TIPO_DE_ACTO2"/>
      <sheetName val="%_cumplimiento_2"/>
      <sheetName val="%_CUMPLIMIENTO2"/>
      <sheetName val="Listas_y_equipos_a_evaluar2"/>
      <sheetName val="CRITICIDAD_DE_CI2"/>
      <sheetName val="Catálogo_de_CI2"/>
      <sheetName val="Data_Reporte2"/>
      <sheetName val="Read_me2"/>
      <sheetName val="Validation_lists2"/>
      <sheetName val="Cut_Machine_Summary2"/>
      <sheetName val="Daily_Dashboard2"/>
      <sheetName val="Champions_List1"/>
      <sheetName val="CALIFICACIONES_2019"/>
      <sheetName val="Lev_4_360_deg_check_Crit_Task"/>
      <sheetName val="Lev_4_Chk_IC_Stock_Crit_Task"/>
      <sheetName val="Lev_4_WMS_Putaway_Crit_Task"/>
      <sheetName val="Mapeo_SKUs2"/>
      <sheetName val="Vol_(Ds)2"/>
      <sheetName val="Vol_(Ka)2"/>
      <sheetName val="Vol_(Oth)2"/>
      <sheetName val="Vol_(Oth)_Cortesias2"/>
      <sheetName val="INPUT-Cust_Sugg_Margin(Ds)2"/>
      <sheetName val="On_Invoice2"/>
      <sheetName val="INPUT-Cust_Sugg_Margin(Ka)2"/>
      <sheetName val="INPUT_SKUs2"/>
      <sheetName val="Brand_P&amp;L"/>
      <sheetName val="SUPERMONT_P"/>
      <sheetName val="Data_selection"/>
      <sheetName val="1_"/>
      <sheetName val="Customer_&amp;_SO"/>
      <sheetName val="Session_Proposal"/>
      <sheetName val="SOP Freshness"/>
      <sheetName val="Listas desplegables"/>
      <sheetName val="Resumen General"/>
      <sheetName val="Cátalogo de CI"/>
      <sheetName val="Hoja2 (2)"/>
      <sheetName val="Technology check list"/>
      <sheetName val="Status de Usuario"/>
      <sheetName val="pel_nvo"/>
      <sheetName val="SST"/>
      <sheetName val="Actos y Condiciones "/>
      <sheetName val="Settings"/>
      <sheetName val="NO BORRAR"/>
      <sheetName val="CUMPLIMIENTO"/>
      <sheetName val="Formato checklist Lab"/>
      <sheetName val="PAINEL RECOLHA CRÉDITO"/>
      <sheetName val="Gráficos - CDD"/>
      <sheetName val="Values"/>
      <sheetName val="Industries"/>
      <sheetName val="TO_Data_Base19"/>
      <sheetName val="YTD_Summary18"/>
      <sheetName val="Month_Summary18"/>
      <sheetName val="Trial_Balance_MAY_200918"/>
      <sheetName val="TB_Pivot18"/>
      <sheetName val="total_per_LB_LB218"/>
      <sheetName val="Trial_Balance_Vlookup18"/>
      <sheetName val="Trial_Balance_APRIL_200918"/>
      <sheetName val="Roll_Out_AQ18"/>
      <sheetName val="Evolução_mandamentos18"/>
      <sheetName val="Planilha_resultados17"/>
      <sheetName val="Historico_200317"/>
      <sheetName val="Sig_Cycles_Accts_&amp;_Processes17"/>
      <sheetName val="Fixed_ZBB11"/>
      <sheetName val="E_法规NC11"/>
      <sheetName val="3_ISo_YTD11"/>
      <sheetName val="Données_LMU11"/>
      <sheetName val="Brazil_Sovereign11"/>
      <sheetName val="Resumen_Costo11"/>
      <sheetName val="Base_de_Dados11"/>
      <sheetName val="Extract_Loss11"/>
      <sheetName val="5_111"/>
      <sheetName val="QA_跟踪记录表11"/>
      <sheetName val="RG_Depots11"/>
      <sheetName val="material_data11"/>
      <sheetName val="other_data11"/>
      <sheetName val="Como_Estamos11"/>
      <sheetName val="Database_(RUR)Mar_YTD11"/>
      <sheetName val="SKU_Mapping11"/>
      <sheetName val="Drop_Down11"/>
      <sheetName val="Raw_Data11"/>
      <sheetName val="EBM-2_GHQ11"/>
      <sheetName val="Base_PEF12"/>
      <sheetName val="Controls_data13"/>
      <sheetName val="Testing_Template_Guidance11"/>
      <sheetName val="Test_Programs11"/>
      <sheetName val="[손익기01_XLDePara6"/>
      <sheetName val="Dados_BLP11"/>
      <sheetName val="FJJX_Bud_IB10"/>
      <sheetName val="JOB_PROFILE_-_LAS11"/>
      <sheetName val="ARdistr_(2)11"/>
      <sheetName val="look-up_data10"/>
      <sheetName val="Prd_Hierarchy(产品层级)10"/>
      <sheetName val="Com_(2PK)10"/>
      <sheetName val="Project_Code10"/>
      <sheetName val="요일_테이블11"/>
      <sheetName val="요일_테이블_(2)10"/>
      <sheetName val="Prd_Hierarchy(产品层次)10"/>
      <sheetName val="전사_PL12"/>
      <sheetName val="자금_제외_PL12"/>
      <sheetName val="자금_PL12"/>
      <sheetName val="전사_BS12"/>
      <sheetName val="자금_제외_BS12"/>
      <sheetName val="자금_BS12"/>
      <sheetName val="BS_계정_설명12"/>
      <sheetName val="_Cash_Flow(전사)12"/>
      <sheetName val="_Cash_Flow(자금제외)12"/>
      <sheetName val="_Cash_Flow(자금)12"/>
      <sheetName val="ROIC_12"/>
      <sheetName val="인건비_명세12"/>
      <sheetName val="판관비_명세12"/>
      <sheetName val="OH_Cost경비(내역)12"/>
      <sheetName val="OH_Cost경비(배부기준)12"/>
      <sheetName val="기타수지&amp;특별손익_명세12"/>
      <sheetName val="업무연락_(2)11"/>
      <sheetName val="제시_손익계산서11"/>
      <sheetName val="01_02월_성과급12"/>
      <sheetName val="M_7회차_담금_계획11"/>
      <sheetName val="팀별_실적11"/>
      <sheetName val="팀별_실적_(환산)11"/>
      <sheetName val="4__Inj_투자상세내역11"/>
      <sheetName val="3__Blow_투자_상세내역11"/>
      <sheetName val="Process_List11"/>
      <sheetName val="7_(2)11"/>
      <sheetName val="_손익기01_XL10"/>
      <sheetName val="Income_Stmt10"/>
      <sheetName val="drop_down_list10"/>
      <sheetName val="[손익기01_XL_x005f_x0000__x005f_x0000_DePara10"/>
      <sheetName val="[손익기01_XL10"/>
      <sheetName val="Quarterly_LBO_Model10"/>
      <sheetName val="Figures_Report9"/>
      <sheetName val="_손익기01_XL_x005f_x0000__x005f_x0000_DePara10"/>
      <sheetName val="Set_Up10"/>
      <sheetName val="15년_BL_사계10"/>
      <sheetName val="1_종합손익(도급)10"/>
      <sheetName val="1_종합손익(주택,개발)10"/>
      <sheetName val="2_실행예산10"/>
      <sheetName val="2_2과부족10"/>
      <sheetName val="2_3원가절감10"/>
      <sheetName val="8_외주비집행현황10"/>
      <sheetName val="9_자재비10"/>
      <sheetName val="10_현장집행10"/>
      <sheetName val="3_추가원가10"/>
      <sheetName val="3_추가원가_(2)10"/>
      <sheetName val="4_사전공사10"/>
      <sheetName val="5_추정공사비10"/>
      <sheetName val="6_금융비용10"/>
      <sheetName val="7_공사비집행현황(총괄)10"/>
      <sheetName val="11_1생산성10"/>
      <sheetName val="11_2인원산출10"/>
      <sheetName val="Classification_分类9"/>
      <sheetName val="Fare_prices9"/>
      <sheetName val="Hotel_prices9"/>
      <sheetName val="tab_STATUS_DO_PROCESSO_9"/>
      <sheetName val="Perf__Plan__Diário19"/>
      <sheetName val="In_(2)9"/>
      <sheetName val="__한국_AMP_ASP-23_판매가격__9"/>
      <sheetName val="CC_Down_load_07169"/>
      <sheetName val="변경실행(2차)_9"/>
      <sheetName val="나_출고9"/>
      <sheetName val="나_입고9"/>
      <sheetName val="09년_인건비(속리산)9"/>
      <sheetName val="합산목표(감가+57_5)9"/>
      <sheetName val="제조원가_원단위_분석9"/>
      <sheetName val="종합표양식(품의_&amp;_입고)_29"/>
      <sheetName val="원가관리_(동월대비)9"/>
      <sheetName val="b_balju_(2)9"/>
      <sheetName val="2-2_매출분석9"/>
      <sheetName val="몰드시스템_리스트9"/>
      <sheetName val="11_외화채무증권(AFS,HTM)089"/>
      <sheetName val="13_감액TEST_089"/>
      <sheetName val="12년_CF(9월)9"/>
      <sheetName val="중기조종사_단위단가9"/>
      <sheetName val="6PILE__(돌출)9"/>
      <sheetName val="기성청구_공문9"/>
      <sheetName val="Sheet1_(2)9"/>
      <sheetName val="CLASIFICACION_DE_AI9"/>
      <sheetName val="Base_da_Datos9"/>
      <sheetName val="slide_24_cat_A9"/>
      <sheetName val="slide_82_cat_b9"/>
      <sheetName val="Dados_dos_Produtos9"/>
      <sheetName val="Base_de_Datos8"/>
      <sheetName val="09~10년_매출계획9"/>
      <sheetName val="1_MDF1공장9"/>
      <sheetName val="Incident_유형구분표9"/>
      <sheetName val="3YP2016-Bottom_up8"/>
      <sheetName val="DD_list9"/>
      <sheetName val="Supply_Cost_Centers8"/>
      <sheetName val="_손익기01_XLDePara6"/>
      <sheetName val="2_카드채권(대출포함)8"/>
      <sheetName val="表21_净利润调节表8"/>
      <sheetName val="Cond__Inseguros8"/>
      <sheetName val="Comp__Inseguros8"/>
      <sheetName val="Lista_de_datos8"/>
      <sheetName val="MASTER_APP8"/>
      <sheetName val="Clasif_8"/>
      <sheetName val="Farol_Acciones8"/>
      <sheetName val="Lista_de_Entrenamientos8"/>
      <sheetName val="Unidades_SAC-REVENDA9"/>
      <sheetName val="FornecM_Check7"/>
      <sheetName val="Lista_CI8"/>
      <sheetName val="Estratificación_AI7"/>
      <sheetName val="condicion_inseguras7"/>
      <sheetName val="Actos_Inseguros7"/>
      <sheetName val="Control_de_incidentes7"/>
      <sheetName val="Plan_de_Acción7"/>
      <sheetName val="_DD_List8"/>
      <sheetName val="Share_Price_20028"/>
      <sheetName val="Issues_List_Payments7"/>
      <sheetName val="BEP_加薪_KPI7"/>
      <sheetName val="Dashboard_Prevención_Riesgos_7"/>
      <sheetName val="TOP_KPIs_MTM7"/>
      <sheetName val="PLAN_DE_ACCION7"/>
      <sheetName val="Faro_de_Indicadores7"/>
      <sheetName val="do_not_delete7"/>
      <sheetName val="Grafica_Actos7"/>
      <sheetName val="APAC_S7"/>
      <sheetName val="APAC_N7"/>
      <sheetName val="Slide_output7"/>
      <sheetName val="[손익기01_XL??DePara7"/>
      <sheetName val="Farol_Metas7"/>
      <sheetName val="Mod_Relac_7"/>
      <sheetName val="Condiciones_SyE7"/>
      <sheetName val="REALxMETA_-_CERVEJA9"/>
      <sheetName val="REALxMETA_-_REFRI9"/>
      <sheetName val="Directrices_de_Metas_20177"/>
      <sheetName val="Data_validation7"/>
      <sheetName val="_손익기01_XL_x005f_x005f_x005f_x0000__x005f_x005f_x7"/>
      <sheetName val="Hazards_Analysis-隐患分析7"/>
      <sheetName val="F08_-_Asia_Pac_Full_Year_Q38"/>
      <sheetName val="Top_Priorities8"/>
      <sheetName val="Listco_Stock8"/>
      <sheetName val="Intl_Purchase8"/>
      <sheetName val="FY_outlook8"/>
      <sheetName val="CY_outlook8"/>
      <sheetName val="Cash_metrics8"/>
      <sheetName val="P6_78"/>
      <sheetName val="DATOS_BASE7"/>
      <sheetName val="97_사업추정(WEKI)7"/>
      <sheetName val="Tong_hop7"/>
      <sheetName val="95_1_1이후취득자산(숨기기상태)7"/>
      <sheetName val="sum1_(2)7"/>
      <sheetName val="3_바닥판설계7"/>
      <sheetName val="6월_공정외주7"/>
      <sheetName val="2_대외공문7"/>
      <sheetName val="2_총괄표7"/>
      <sheetName val="입출재고현황_(2)7"/>
      <sheetName val="504전기실_동부하-L7"/>
      <sheetName val="OUTER_AREA(겹침없음)7"/>
      <sheetName val="EL_표면적7"/>
      <sheetName val="TRE_TABLE7"/>
      <sheetName val="입찰내역_발주처_양식7"/>
      <sheetName val="POC_LIST7"/>
      <sheetName val="turnover_reason퇴직사유7"/>
      <sheetName val="SKU_Basic_Data7"/>
      <sheetName val="Entity_Target7"/>
      <sheetName val="DETALLE_MENSUAL7"/>
      <sheetName val="Drop-down_List6"/>
      <sheetName val="by_DD6"/>
      <sheetName val="VALIDACION_DE_DATOS6"/>
      <sheetName val="Jul-Sep_Actual_cost_(2)6"/>
      <sheetName val="Check_Qualidade5"/>
      <sheetName val="De_Para6"/>
      <sheetName val="Check_Aderencia5"/>
      <sheetName val="_손익기01_XL_x005f_x0000__x05"/>
      <sheetName val="부재료_비교(11년_vs_10년)5"/>
      <sheetName val="Base_Farol5"/>
      <sheetName val="Gerencial_IL5"/>
      <sheetName val="Ventas_Campo5"/>
      <sheetName val="ACTOS_POR_RIESGO5"/>
      <sheetName val="drop_lists5"/>
      <sheetName val="MRL_NON_SUPPLY_URU5"/>
      <sheetName val="AIIM_-_Empresas_Ext_20125"/>
      <sheetName val="KPIs_Hana5"/>
      <sheetName val="Catalago_de_refacciones_5"/>
      <sheetName val="Existencias_al_07-Nov-20125"/>
      <sheetName val="Check_GG5"/>
      <sheetName val="Sheet3_(2)5"/>
      <sheetName val="Nombre_de_SOP5"/>
      <sheetName val="Lao_&amp;_Cam5"/>
      <sheetName val="Hoegaarden_20195"/>
      <sheetName val="Lao_&amp;_Cam_20195"/>
      <sheetName val="Malaysia_20195"/>
      <sheetName val="Singapore_20195"/>
      <sheetName val="Sheet2_(2)5"/>
      <sheetName val="요일_테이블_5"/>
      <sheetName val="Other_Listings5"/>
      <sheetName val="2__Indicadores5"/>
      <sheetName val="Ta_5"/>
      <sheetName val="Lista_de_Entrenamientos_RSO5"/>
      <sheetName val="Tablero_SDG8"/>
      <sheetName val="Lista_Areas8"/>
      <sheetName val="One_Page8"/>
      <sheetName val="Sub-Productos_HN6"/>
      <sheetName val="Eficiencia_linea5"/>
      <sheetName val="_mngt_Pillar5"/>
      <sheetName val="Pauta_RPS_Distribuição4"/>
      <sheetName val="Estoque_(2)4"/>
      <sheetName val="_손익기01_XL_x01"/>
      <sheetName val="BNR_2012_в_ящике4"/>
      <sheetName val="Comp_Inseguros4"/>
      <sheetName val="DO_NOT_MOVE4"/>
      <sheetName val="DATOS_DE_VALIDACIÓN4"/>
      <sheetName val="Datos_con4"/>
      <sheetName val="_Datos_Cond_4"/>
      <sheetName val="INGRESO_(2)4"/>
      <sheetName val="PG-K1610_(UEN_Areas)MNG4"/>
      <sheetName val="DATOS_GEN_4"/>
      <sheetName val="NUEVOS_CRITERIOS4"/>
      <sheetName val="Condiciones_Agua4"/>
      <sheetName val="__한국_AMP_ASP-23_판㧤가격__3"/>
      <sheetName val="11_䡸화채무줝ⴌ(AFS,HTM)083"/>
      <sheetName val="Drop_list3"/>
      <sheetName val="FX_Rates3"/>
      <sheetName val="Dropdown_list3"/>
      <sheetName val="Vagas_x_Candidatos3"/>
      <sheetName val="Proced_3"/>
      <sheetName val="Cut_Machine_Summary3"/>
      <sheetName val="Control_de_Fallas3"/>
      <sheetName val="Setup_for_Templates3"/>
      <sheetName val="Datos_emp3"/>
      <sheetName val="Validation_lists3"/>
      <sheetName val="TIPO_DE_ACTO3"/>
      <sheetName val="CRITICIDAD_DE_CI3"/>
      <sheetName val="Catálogo_de_CI3"/>
      <sheetName val="%_CUMPLIMIENTO3"/>
      <sheetName val="%_cumplimiento_3"/>
      <sheetName val="CALIFICACIONES_20191"/>
      <sheetName val="Lev_4_360_deg_check_Crit_Task1"/>
      <sheetName val="Lev_4_Chk_IC_Stock_Crit_Task1"/>
      <sheetName val="Lev_4_WMS_Putaway_Crit_Task1"/>
      <sheetName val="Listas_y_equipos_a_evaluar3"/>
      <sheetName val="Data_Reporte3"/>
      <sheetName val="Read_me3"/>
      <sheetName val="NAZ_Strategy1"/>
      <sheetName val="Champions_List2"/>
      <sheetName val="Daily_Dashboard3"/>
      <sheetName val="Mapeo_SKUs3"/>
      <sheetName val="Vol_(Ds)3"/>
      <sheetName val="Vol_(Ka)3"/>
      <sheetName val="Vol_(Oth)3"/>
      <sheetName val="Vol_(Oth)_Cortesias3"/>
      <sheetName val="INPUT-Cust_Sugg_Margin(Ds)3"/>
      <sheetName val="On_Invoice3"/>
      <sheetName val="INPUT-Cust_Sugg_Margin(Ka)3"/>
      <sheetName val="INPUT_SKUs3"/>
      <sheetName val="Brand_P&amp;L1"/>
      <sheetName val="SUPERMONT_P1"/>
      <sheetName val="Data_selection1"/>
      <sheetName val="1_1"/>
      <sheetName val="Customer_&amp;_SO1"/>
      <sheetName val="Session_Proposal1"/>
      <sheetName val="Análise_Tempos"/>
      <sheetName val="Validação_de_Dados"/>
      <sheetName val="No_llenar_"/>
      <sheetName val="PDA_BOP"/>
      <sheetName val="Incentivo_Automóvil"/>
      <sheetName val="PROCESS_MD"/>
      <sheetName val="Lista_de_Motivos"/>
      <sheetName val="Ponto_Crítico_-_Resp__Plano"/>
      <sheetName val="Lista_Funcionários_(2)"/>
      <sheetName val="PAINEL_RECOLHA_CRÉDITO"/>
      <sheetName val="Gráficos_-_CDD"/>
      <sheetName val="YTD_Summary19"/>
      <sheetName val="Month_Summary19"/>
      <sheetName val="Trial_Balance_MAY_200919"/>
      <sheetName val="TB_Pivot19"/>
      <sheetName val="total_per_LB_LB219"/>
      <sheetName val="Trial_Balance_Vlookup19"/>
      <sheetName val="Trial_Balance_APRIL_200919"/>
      <sheetName val="TO_Data_Base20"/>
      <sheetName val="Roll_Out_AQ19"/>
      <sheetName val="Evolução_mandamentos19"/>
      <sheetName val="Planilha_resultados18"/>
      <sheetName val="Historico_200318"/>
      <sheetName val="Sig_Cycles_Accts_&amp;_Processes18"/>
      <sheetName val="Fixed_ZBB12"/>
      <sheetName val="3_ISo_YTD12"/>
      <sheetName val="E_法规NC12"/>
      <sheetName val="Données_LMU12"/>
      <sheetName val="Brazil_Sovereign12"/>
      <sheetName val="Resumen_Costo12"/>
      <sheetName val="Extract_Loss12"/>
      <sheetName val="QA_跟踪记录表12"/>
      <sheetName val="5_112"/>
      <sheetName val="Como_Estamos12"/>
      <sheetName val="Base_de_Dados12"/>
      <sheetName val="RG_Depots12"/>
      <sheetName val="material_data12"/>
      <sheetName val="other_data12"/>
      <sheetName val="Database_(RUR)Mar_YTD12"/>
      <sheetName val="SKU_Mapping12"/>
      <sheetName val="Drop_Down12"/>
      <sheetName val="Raw_Data12"/>
      <sheetName val="EBM-2_GHQ12"/>
      <sheetName val="Base_PEF13"/>
      <sheetName val="Testing_Template_Guidance12"/>
      <sheetName val="Test_Programs12"/>
      <sheetName val="Controls_data14"/>
      <sheetName val="Dados_BLP12"/>
      <sheetName val="ARdistr_(2)12"/>
      <sheetName val="FJJX_Bud_IB11"/>
      <sheetName val="look-up_data11"/>
      <sheetName val="Prd_Hierarchy(产品层级)11"/>
      <sheetName val="Com_(2PK)11"/>
      <sheetName val="JOB_PROFILE_-_LAS12"/>
      <sheetName val="요일_테이블12"/>
      <sheetName val="요일_테이블_(2)11"/>
      <sheetName val="Prd_Hierarchy(产品层次)11"/>
      <sheetName val="Project_Code11"/>
      <sheetName val="전사_PL13"/>
      <sheetName val="자금_제외_PL13"/>
      <sheetName val="자금_PL13"/>
      <sheetName val="전사_BS13"/>
      <sheetName val="자금_제외_BS13"/>
      <sheetName val="자금_BS13"/>
      <sheetName val="BS_계정_설명13"/>
      <sheetName val="_Cash_Flow(전사)13"/>
      <sheetName val="_Cash_Flow(자금제외)13"/>
      <sheetName val="_Cash_Flow(자금)13"/>
      <sheetName val="ROIC_13"/>
      <sheetName val="인건비_명세13"/>
      <sheetName val="판관비_명세13"/>
      <sheetName val="OH_Cost경비(내역)13"/>
      <sheetName val="OH_Cost경비(배부기준)13"/>
      <sheetName val="기타수지&amp;특별손익_명세13"/>
      <sheetName val="업무연락_(2)12"/>
      <sheetName val="제시_손익계산서12"/>
      <sheetName val="01_02월_성과급13"/>
      <sheetName val="M_7회차_담금_계획12"/>
      <sheetName val="팀별_실적12"/>
      <sheetName val="팀별_실적_(환산)12"/>
      <sheetName val="4__Inj_투자상세내역12"/>
      <sheetName val="3__Blow_투자_상세내역12"/>
      <sheetName val="Process_List12"/>
      <sheetName val="7_(2)12"/>
      <sheetName val="_손익기01_XL11"/>
      <sheetName val="Income_Stmt11"/>
      <sheetName val="drop_down_list11"/>
      <sheetName val="Figures_Report10"/>
      <sheetName val="[손익기01_XL_x005f_x0000__x005f_x0000_DePara11"/>
      <sheetName val="Quarterly_LBO_Model11"/>
      <sheetName val="[손익기01_XL11"/>
      <sheetName val="_손익기01_XL_x005f_x0000__x005f_x0000_DePara11"/>
      <sheetName val="15년_BL_사계11"/>
      <sheetName val="1_종합손익(도급)11"/>
      <sheetName val="1_종합손익(주택,개발)11"/>
      <sheetName val="2_실행예산11"/>
      <sheetName val="2_2과부족11"/>
      <sheetName val="2_3원가절감11"/>
      <sheetName val="8_외주비집행현황11"/>
      <sheetName val="9_자재비11"/>
      <sheetName val="10_현장집행11"/>
      <sheetName val="3_추가원가11"/>
      <sheetName val="3_추가원가_(2)11"/>
      <sheetName val="4_사전공사11"/>
      <sheetName val="5_추정공사비11"/>
      <sheetName val="6_금융비용11"/>
      <sheetName val="7_공사비집행현황(총괄)11"/>
      <sheetName val="11_1생산성11"/>
      <sheetName val="11_2인원산출11"/>
      <sheetName val="Classification_分类10"/>
      <sheetName val="Set_Up11"/>
      <sheetName val="Fare_prices10"/>
      <sheetName val="Hotel_prices10"/>
      <sheetName val="tab_STATUS_DO_PROCESSO_10"/>
      <sheetName val="Perf__Plan__Diário110"/>
      <sheetName val="In_(2)10"/>
      <sheetName val="__한국_AMP_ASP-23_판매가격__10"/>
      <sheetName val="CC_Down_load_071610"/>
      <sheetName val="변경실행(2차)_10"/>
      <sheetName val="나_출고10"/>
      <sheetName val="나_입고10"/>
      <sheetName val="09년_인건비(속리산)10"/>
      <sheetName val="합산목표(감가+57_5)10"/>
      <sheetName val="제조원가_원단위_분석10"/>
      <sheetName val="종합표양식(품의_&amp;_입고)_210"/>
      <sheetName val="원가관리_(동월대비)10"/>
      <sheetName val="b_balju_(2)10"/>
      <sheetName val="2-2_매출분석10"/>
      <sheetName val="몰드시스템_리스트10"/>
      <sheetName val="11_외화채무증권(AFS,HTM)0810"/>
      <sheetName val="13_감액TEST_0810"/>
      <sheetName val="12년_CF(9월)10"/>
      <sheetName val="중기조종사_단위단가10"/>
      <sheetName val="6PILE__(돌출)10"/>
      <sheetName val="기성청구_공문10"/>
      <sheetName val="Sheet1_(2)10"/>
      <sheetName val="CLASIFICACION_DE_AI10"/>
      <sheetName val="Base_da_Datos10"/>
      <sheetName val="slide_24_cat_A10"/>
      <sheetName val="slide_82_cat_b10"/>
      <sheetName val="Dados_dos_Produtos10"/>
      <sheetName val="09~10년_매출계획10"/>
      <sheetName val="1_MDF1공장10"/>
      <sheetName val="Incident_유형구분표10"/>
      <sheetName val="3YP2016-Bottom_up9"/>
      <sheetName val="DD_list10"/>
      <sheetName val="Base_de_Datos9"/>
      <sheetName val="Supply_Cost_Centers9"/>
      <sheetName val="2_카드채권(대출포함)9"/>
      <sheetName val="表21_净利润调节表9"/>
      <sheetName val="Cond__Inseguros9"/>
      <sheetName val="Comp__Inseguros9"/>
      <sheetName val="Lista_de_datos9"/>
      <sheetName val="MASTER_APP9"/>
      <sheetName val="Clasif_9"/>
      <sheetName val="Farol_Acciones9"/>
      <sheetName val="Lista_de_Entrenamientos9"/>
      <sheetName val="Unidades_SAC-REVENDA10"/>
      <sheetName val="FornecM_Check8"/>
      <sheetName val="Lista_CI9"/>
      <sheetName val="Estratificación_AI8"/>
      <sheetName val="condicion_inseguras8"/>
      <sheetName val="Actos_Inseguros8"/>
      <sheetName val="Control_de_incidentes8"/>
      <sheetName val="Plan_de_Acción8"/>
      <sheetName val="_DD_List9"/>
      <sheetName val="Share_Price_20029"/>
      <sheetName val="Issues_List_Payments8"/>
      <sheetName val="BEP_加薪_KPI8"/>
      <sheetName val="Faro_de_Indicadores8"/>
      <sheetName val="TOP_KPIs_MTM8"/>
      <sheetName val="PLAN_DE_ACCION8"/>
      <sheetName val="Grafica_Actos8"/>
      <sheetName val="POC_LIST8"/>
      <sheetName val="Dashboard_Prevención_Riesgos_8"/>
      <sheetName val="APAC_S8"/>
      <sheetName val="APAC_N8"/>
      <sheetName val="Slide_output8"/>
      <sheetName val="do_not_delete8"/>
      <sheetName val="[손익기01_XL??DePara8"/>
      <sheetName val="Farol_Metas8"/>
      <sheetName val="Mod_Relac_8"/>
      <sheetName val="Condiciones_SyE8"/>
      <sheetName val="REALxMETA_-_CERVEJA10"/>
      <sheetName val="REALxMETA_-_REFRI10"/>
      <sheetName val="Directrices_de_Metas_20178"/>
      <sheetName val="F08_-_Asia_Pac_Full_Year_Q39"/>
      <sheetName val="Top_Priorities9"/>
      <sheetName val="Listco_Stock9"/>
      <sheetName val="Intl_Purchase9"/>
      <sheetName val="FY_outlook9"/>
      <sheetName val="CY_outlook9"/>
      <sheetName val="Cash_metrics9"/>
      <sheetName val="P6_79"/>
      <sheetName val="DATOS_BASE8"/>
      <sheetName val="DETALLE_MENSUAL8"/>
      <sheetName val="Entity_Target8"/>
      <sheetName val="VALIDACION_DE_DATOS7"/>
      <sheetName val="_손익기01_XL_x005f_x005f_x005f_x0000__x005f_x005f_x8"/>
      <sheetName val="Hazards_Analysis-隐患分析8"/>
      <sheetName val="97_사업추정(WEKI)8"/>
      <sheetName val="Tong_hop8"/>
      <sheetName val="95_1_1이후취득자산(숨기기상태)8"/>
      <sheetName val="sum1_(2)8"/>
      <sheetName val="3_바닥판설계8"/>
      <sheetName val="6월_공정외주8"/>
      <sheetName val="2_대외공문8"/>
      <sheetName val="2_총괄표8"/>
      <sheetName val="입출재고현황_(2)8"/>
      <sheetName val="504전기실_동부하-L8"/>
      <sheetName val="OUTER_AREA(겹침없음)8"/>
      <sheetName val="EL_표면적8"/>
      <sheetName val="TRE_TABLE8"/>
      <sheetName val="입찰내역_발주처_양식8"/>
      <sheetName val="Data_validation8"/>
      <sheetName val="turnover_reason퇴직사유8"/>
      <sheetName val="SKU_Basic_Data8"/>
      <sheetName val="Jul-Sep_Actual_cost_(2)7"/>
      <sheetName val="Drop-down_List7"/>
      <sheetName val="by_DD7"/>
      <sheetName val="Check_Qualidade6"/>
      <sheetName val="Check_Aderencia6"/>
      <sheetName val="De_Para7"/>
      <sheetName val="Base_Farol6"/>
      <sheetName val="Gerencial_IL6"/>
      <sheetName val="Ventas_Campo6"/>
      <sheetName val="ACTOS_POR_RIESGO6"/>
      <sheetName val="drop_lists6"/>
      <sheetName val="MRL_NON_SUPPLY_URU6"/>
      <sheetName val="AIIM_-_Empresas_Ext_20126"/>
      <sheetName val="KPIs_Hana6"/>
      <sheetName val="Catalago_de_refacciones_6"/>
      <sheetName val="Existencias_al_07-Nov-20126"/>
      <sheetName val="Check_GG6"/>
      <sheetName val="Nombre_de_SOP6"/>
      <sheetName val="Ta_6"/>
      <sheetName val="2__Indicadores6"/>
      <sheetName val="부재료_비교(11년_vs_10년)6"/>
      <sheetName val="_손익기01_XL_x005f_x0000__x06"/>
      <sheetName val="Lista_de_Entrenamientos_RSO6"/>
      <sheetName val="Tablero_SDG9"/>
      <sheetName val="Lista_Areas9"/>
      <sheetName val="One_Page9"/>
      <sheetName val="Sub-Productos_HN7"/>
      <sheetName val="Eficiencia_linea6"/>
      <sheetName val="_mngt_Pillar6"/>
      <sheetName val="Sheet3_(2)6"/>
      <sheetName val="요일_테이블_6"/>
      <sheetName val="Sheet2_(2)6"/>
      <sheetName val="Lao_&amp;_Cam6"/>
      <sheetName val="Hoegaarden_20196"/>
      <sheetName val="Lao_&amp;_Cam_20196"/>
      <sheetName val="Malaysia_20196"/>
      <sheetName val="Singapore_20196"/>
      <sheetName val="Other_Listings6"/>
      <sheetName val="Pauta_RPS_Distribuição5"/>
      <sheetName val="Estoque_(2)5"/>
      <sheetName val="Comp_Inseguros5"/>
      <sheetName val="BNR_2012_в_ящике5"/>
      <sheetName val="DATOS_DE_VALIDACIÓN5"/>
      <sheetName val="Datos_con5"/>
      <sheetName val="_Datos_Cond_5"/>
      <sheetName val="DO_NOT_MOVE5"/>
      <sheetName val="INGRESO_(2)5"/>
      <sheetName val="PG-K1610_(UEN_Areas)MNG5"/>
      <sheetName val="DATOS_GEN_5"/>
      <sheetName val="NUEVOS_CRITERIOS5"/>
      <sheetName val="Condiciones_Agua5"/>
      <sheetName val="Dropdown_list4"/>
      <sheetName val="FX_Rates4"/>
      <sheetName val="Vagas_x_Candidatos4"/>
      <sheetName val="__한국_AMP_ASP-23_판㧤가격__4"/>
      <sheetName val="11_䡸화채무줝ⴌ(AFS,HTM)084"/>
      <sheetName val="Drop_list4"/>
      <sheetName val="Proced_4"/>
      <sheetName val="Control_de_Fallas4"/>
      <sheetName val="Setup_for_Templates4"/>
      <sheetName val="Datos_emp4"/>
      <sheetName val="TIPO_DE_ACTO4"/>
      <sheetName val="%_cumplimiento_4"/>
      <sheetName val="%_CUMPLIMIENTO4"/>
      <sheetName val="Listas_y_equipos_a_evaluar4"/>
      <sheetName val="CRITICIDAD_DE_CI4"/>
      <sheetName val="Catálogo_de_CI4"/>
      <sheetName val="Data_Reporte4"/>
      <sheetName val="Read_me4"/>
      <sheetName val="Validation_lists4"/>
      <sheetName val="Cut_Machine_Summary4"/>
      <sheetName val="Daily_Dashboard4"/>
      <sheetName val="Champions_List3"/>
      <sheetName val="NAZ_Strategy2"/>
      <sheetName val="CALIFICACIONES_20192"/>
      <sheetName val="Lev_4_360_deg_check_Crit_Task2"/>
      <sheetName val="Lev_4_Chk_IC_Stock_Crit_Task2"/>
      <sheetName val="Lev_4_WMS_Putaway_Crit_Task2"/>
      <sheetName val="Mapeo_SKUs4"/>
      <sheetName val="Vol_(Ds)4"/>
      <sheetName val="Vol_(Ka)4"/>
      <sheetName val="Vol_(Oth)4"/>
      <sheetName val="Vol_(Oth)_Cortesias4"/>
      <sheetName val="INPUT-Cust_Sugg_Margin(Ds)4"/>
      <sheetName val="On_Invoice4"/>
      <sheetName val="INPUT-Cust_Sugg_Margin(Ka)4"/>
      <sheetName val="INPUT_SKUs4"/>
      <sheetName val="Brand_P&amp;L2"/>
      <sheetName val="SUPERMONT_P2"/>
      <sheetName val="Data_selection2"/>
      <sheetName val="1_2"/>
      <sheetName val="Customer_&amp;_SO2"/>
      <sheetName val="Session_Proposal2"/>
      <sheetName val="Análise_Tempos1"/>
      <sheetName val="Validação_de_Dados1"/>
      <sheetName val="No_llenar_1"/>
      <sheetName val="PDA_BOP1"/>
      <sheetName val="Incentivo_Automóvil1"/>
      <sheetName val="PROCESS_MD1"/>
      <sheetName val="Lista_de_Motivos1"/>
      <sheetName val="Ponto_Crítico_-_Resp__Plano1"/>
      <sheetName val="Lista_Funcionários_(2)1"/>
      <sheetName val="PAINEL_RECOLHA_CRÉDITO1"/>
      <sheetName val="Gráficos_-_CDD1"/>
      <sheetName val="Dropdown_Menu"/>
      <sheetName val="Project_List"/>
      <sheetName val="Выпадающие_списки"/>
      <sheetName val="Master Data"/>
      <sheetName val="Sheet5"/>
      <sheetName val="_손익기01_XL_x005f_x0000__x3"/>
      <sheetName val="_손익기01_XL_x0000__x2"/>
      <sheetName val="_손익기01_XL_x0000__x3"/>
      <sheetName val="序列"/>
      <sheetName val="概览"/>
      <sheetName val="1. 템플릿"/>
      <sheetName val="2. 작성 참고사항"/>
      <sheetName val="Source"/>
      <sheetName val="1월"/>
      <sheetName val="2월"/>
      <sheetName val="3월"/>
      <sheetName val="4월"/>
      <sheetName val="거리"/>
      <sheetName val="Table"/>
      <sheetName val="Consolidated_Project List"/>
      <sheetName val="Fixed Cost"/>
      <sheetName val="监控探头清单"/>
      <sheetName val="下拉选项"/>
      <sheetName val="Razão Social"/>
      <sheetName val="TB"/>
      <sheetName val="MOTOSxCONDUTOR"/>
      <sheetName val="Plan4"/>
      <sheetName val="IQ_SALE_REAL_ESTATE_CF_FIN"/>
      <sheetName val="IQ_SALE_REAL_ESTATE_CF_INS"/>
      <sheetName val="IQ_SALE_REAL_ESTATE_CF_UTI"/>
      <sheetName val="IQ_SHORT_INTEREST_PERCENT"/>
      <sheetName val="IQ_TAX_EQUIV_NET_INT_INC"/>
      <sheetName val="IQ_TOTAL_DEBT_ISSUED_BNK"/>
      <sheetName val="IQ_TOTAL_DEBT_ISSUED_FIN"/>
      <sheetName val="IQ_TOTAL_DEBT_ISSUED_REIT"/>
      <sheetName val="IQ_TOTAL_DEBT_ISSUED_UTI"/>
      <sheetName val="IQ_TOTAL_DEBT_ISSUES_INS"/>
      <sheetName val="IQ_TOTAL_DEBT_OVER_EBITDA"/>
      <sheetName val="Xref"/>
      <sheetName val="不安全行为分类"/>
      <sheetName val="연료전력(군포)"/>
      <sheetName val="적립수신"/>
      <sheetName val="순수통장"/>
      <sheetName val="일별"/>
      <sheetName val="원부재료1"/>
      <sheetName val="Dimension IN Sheet1!D1912"/>
      <sheetName val="Dimension IN 1912"/>
      <sheetName val="Manage to Sustain"/>
      <sheetName val="DropLists"/>
      <sheetName val="Packages Info"/>
      <sheetName val="Meeting List"/>
      <sheetName val="유류대_현황"/>
      <sheetName val="mapping_(2)"/>
      <sheetName val="Ref_"/>
      <sheetName val="2_3_Projects_Status"/>
      <sheetName val="1__템플릿"/>
      <sheetName val="2__작성_참고사항"/>
      <sheetName val="Listas_desplegables"/>
      <sheetName val="Resumen_General"/>
      <sheetName val="Cátalogo_de_CI"/>
      <sheetName val="Hoja2_(2)"/>
      <sheetName val="Technology_check_list"/>
      <sheetName val="Status_de_Usuario"/>
      <sheetName val="Actos_y_Condiciones_"/>
      <sheetName val="NO_BORRAR"/>
      <sheetName val="Formato_checklist_Lab"/>
      <sheetName val="Consolidated_Project_List"/>
      <sheetName val="Fixed_Cost"/>
      <sheetName val="Text"/>
      <sheetName val="3. Training &amp; travel"/>
      <sheetName val="Sheet6"/>
      <sheetName val="Supporting"/>
      <sheetName val="filtros"/>
      <sheetName val="Relatorio"/>
      <sheetName val="Manual"/>
      <sheetName val="TO_Data_Base21"/>
      <sheetName val="YTD_Summary20"/>
      <sheetName val="Month_Summary20"/>
      <sheetName val="Trial_Balance_MAY_200920"/>
      <sheetName val="TB_Pivot20"/>
      <sheetName val="total_per_LB_LB220"/>
      <sheetName val="Trial_Balance_Vlookup20"/>
      <sheetName val="Trial_Balance_APRIL_200920"/>
      <sheetName val="Roll_Out_AQ20"/>
      <sheetName val="Evolução_mandamentos20"/>
      <sheetName val="Planilha_resultados19"/>
      <sheetName val="Historico_200319"/>
      <sheetName val="Sig_Cycles_Accts_&amp;_Processes19"/>
      <sheetName val="3_ISo_YTD13"/>
      <sheetName val="E_法规NC13"/>
      <sheetName val="Données_LMU13"/>
      <sheetName val="Brazil_Sovereign13"/>
      <sheetName val="Resumen_Costo13"/>
      <sheetName val="Fixed_ZBB13"/>
      <sheetName val="5_113"/>
      <sheetName val="Extract_Loss13"/>
      <sheetName val="QA_跟踪记录表13"/>
      <sheetName val="RG_Depots13"/>
      <sheetName val="Database_(RUR)Mar_YTD13"/>
      <sheetName val="material_data13"/>
      <sheetName val="other_data13"/>
      <sheetName val="Como_Estamos13"/>
      <sheetName val="SKU_Mapping13"/>
      <sheetName val="Drop_Down13"/>
      <sheetName val="Raw_Data13"/>
      <sheetName val="EBM-2_GHQ13"/>
      <sheetName val="Base_PEF14"/>
      <sheetName val="Testing_Template_Guidance13"/>
      <sheetName val="Test_Programs13"/>
      <sheetName val="Base_de_Dados13"/>
      <sheetName val="Controls_data15"/>
      <sheetName val="Dados_BLP13"/>
      <sheetName val="FJJX_Bud_IB12"/>
      <sheetName val="look-up_data12"/>
      <sheetName val="Prd_Hierarchy(产品层级)12"/>
      <sheetName val="ARdistr_(2)13"/>
      <sheetName val="[손익기01_XLDePara7"/>
      <sheetName val="Com_(2PK)12"/>
      <sheetName val="JOB_PROFILE_-_LAS13"/>
      <sheetName val="요일_테이블13"/>
      <sheetName val="요일_테이블_(2)12"/>
      <sheetName val="Prd_Hierarchy(产品层次)12"/>
      <sheetName val="Project_Code12"/>
      <sheetName val="전사_PL14"/>
      <sheetName val="자금_제외_PL14"/>
      <sheetName val="자금_PL14"/>
      <sheetName val="전사_BS14"/>
      <sheetName val="자금_제외_BS14"/>
      <sheetName val="자금_BS14"/>
      <sheetName val="BS_계정_설명14"/>
      <sheetName val="_Cash_Flow(전사)14"/>
      <sheetName val="_Cash_Flow(자금제외)14"/>
      <sheetName val="_Cash_Flow(자금)14"/>
      <sheetName val="ROIC_14"/>
      <sheetName val="인건비_명세14"/>
      <sheetName val="판관비_명세14"/>
      <sheetName val="OH_Cost경비(내역)14"/>
      <sheetName val="OH_Cost경비(배부기준)14"/>
      <sheetName val="기타수지&amp;특별손익_명세14"/>
      <sheetName val="업무연락_(2)13"/>
      <sheetName val="제시_손익계산서13"/>
      <sheetName val="01_02월_성과급14"/>
      <sheetName val="M_7회차_담금_계획13"/>
      <sheetName val="팀별_실적13"/>
      <sheetName val="팀별_실적_(환산)13"/>
      <sheetName val="4__Inj_투자상세내역13"/>
      <sheetName val="3__Blow_투자_상세내역13"/>
      <sheetName val="Process_List13"/>
      <sheetName val="7_(2)13"/>
      <sheetName val="_손익기01_XL12"/>
      <sheetName val="drop_down_list12"/>
      <sheetName val="Income_Stmt12"/>
      <sheetName val="Figures_Report11"/>
      <sheetName val="[손익기01_XL_x005f_x0000__x005f_x0000_DePara12"/>
      <sheetName val="Quarterly_LBO_Model12"/>
      <sheetName val="[손익기01_XL12"/>
      <sheetName val="Set_Up12"/>
      <sheetName val="_손익기01_XL_x005f_x0000__x005f_x0000_DePara12"/>
      <sheetName val="15년_BL_사계12"/>
      <sheetName val="1_종합손익(도급)12"/>
      <sheetName val="1_종합손익(주택,개발)12"/>
      <sheetName val="2_실행예산12"/>
      <sheetName val="2_2과부족12"/>
      <sheetName val="2_3원가절감12"/>
      <sheetName val="8_외주비집행현황12"/>
      <sheetName val="9_자재비12"/>
      <sheetName val="10_현장집행12"/>
      <sheetName val="3_추가원가12"/>
      <sheetName val="3_추가원가_(2)12"/>
      <sheetName val="4_사전공사12"/>
      <sheetName val="5_추정공사비12"/>
      <sheetName val="6_금융비용12"/>
      <sheetName val="7_공사비집행현황(총괄)12"/>
      <sheetName val="11_1생산성12"/>
      <sheetName val="11_2인원산출12"/>
      <sheetName val="Classification_分类11"/>
      <sheetName val="Fare_prices11"/>
      <sheetName val="Hotel_prices11"/>
      <sheetName val="tab_STATUS_DO_PROCESSO_11"/>
      <sheetName val="Perf__Plan__Diário111"/>
      <sheetName val="In_(2)11"/>
      <sheetName val="__한국_AMP_ASP-23_판매가격__11"/>
      <sheetName val="CC_Down_load_071611"/>
      <sheetName val="변경실행(2차)_11"/>
      <sheetName val="나_출고11"/>
      <sheetName val="나_입고11"/>
      <sheetName val="09년_인건비(속리산)11"/>
      <sheetName val="합산목표(감가+57_5)11"/>
      <sheetName val="제조원가_원단위_분석11"/>
      <sheetName val="종합표양식(품의_&amp;_입고)_211"/>
      <sheetName val="원가관리_(동월대비)11"/>
      <sheetName val="b_balju_(2)11"/>
      <sheetName val="2-2_매출분석11"/>
      <sheetName val="몰드시스템_리스트11"/>
      <sheetName val="11_외화채무증권(AFS,HTM)0811"/>
      <sheetName val="13_감액TEST_0811"/>
      <sheetName val="12년_CF(9월)11"/>
      <sheetName val="중기조종사_단위단가11"/>
      <sheetName val="6PILE__(돌출)11"/>
      <sheetName val="기성청구_공문11"/>
      <sheetName val="Sheet1_(2)11"/>
      <sheetName val="CLASIFICACION_DE_AI11"/>
      <sheetName val="Base_da_Datos11"/>
      <sheetName val="slide_24_cat_A11"/>
      <sheetName val="slide_82_cat_b11"/>
      <sheetName val="Dados_dos_Produtos11"/>
      <sheetName val="09~10년_매출계획11"/>
      <sheetName val="1_MDF1공장11"/>
      <sheetName val="Incident_유형구분표11"/>
      <sheetName val="3YP2016-Bottom_up10"/>
      <sheetName val="DD_list11"/>
      <sheetName val="Base_de_Datos10"/>
      <sheetName val="MASTER_APP10"/>
      <sheetName val="Cond__Inseguros10"/>
      <sheetName val="Comp__Inseguros10"/>
      <sheetName val="Supply_Cost_Centers10"/>
      <sheetName val="_손익기01_XLDePara7"/>
      <sheetName val="2_카드채권(대출포함)10"/>
      <sheetName val="表21_净利润调节表10"/>
      <sheetName val="Lista_de_datos10"/>
      <sheetName val="Clasif_10"/>
      <sheetName val="Unidades_SAC-REVENDA11"/>
      <sheetName val="Farol_Acciones10"/>
      <sheetName val="Lista_de_Entrenamientos10"/>
      <sheetName val="FornecM_Check9"/>
      <sheetName val="Faro_de_Indicadores9"/>
      <sheetName val="TOP_KPIs_MTM9"/>
      <sheetName val="PLAN_DE_ACCION9"/>
      <sheetName val="Grafica_Actos9"/>
      <sheetName val="APAC_S9"/>
      <sheetName val="APAC_N9"/>
      <sheetName val="Slide_output9"/>
      <sheetName val="Lista_CI10"/>
      <sheetName val="Dashboard_Prevención_Riesgos_9"/>
      <sheetName val="Share_Price_200210"/>
      <sheetName val="_DD_List10"/>
      <sheetName val="BEP_加薪_KPI9"/>
      <sheetName val="Estratificación_AI9"/>
      <sheetName val="condicion_inseguras9"/>
      <sheetName val="Actos_Inseguros9"/>
      <sheetName val="Control_de_incidentes9"/>
      <sheetName val="Plan_de_Acción9"/>
      <sheetName val="Issues_List_Payments9"/>
      <sheetName val="do_not_delete9"/>
      <sheetName val="[손익기01_XL??DePara9"/>
      <sheetName val="Farol_Metas9"/>
      <sheetName val="Mod_Relac_9"/>
      <sheetName val="Condiciones_SyE9"/>
      <sheetName val="REALxMETA_-_CERVEJA11"/>
      <sheetName val="REALxMETA_-_REFRI11"/>
      <sheetName val="Directrices_de_Metas_20179"/>
      <sheetName val="POC_LIST9"/>
      <sheetName val="_손익기01_XL_x005f_x005f_x005f_x0000__x005f_x005f_x9"/>
      <sheetName val="Hazards_Analysis-隐患分析9"/>
      <sheetName val="F08_-_Asia_Pac_Full_Year_Q310"/>
      <sheetName val="Top_Priorities10"/>
      <sheetName val="Listco_Stock10"/>
      <sheetName val="Intl_Purchase10"/>
      <sheetName val="FY_outlook10"/>
      <sheetName val="CY_outlook10"/>
      <sheetName val="Cash_metrics10"/>
      <sheetName val="P6_710"/>
      <sheetName val="DATOS_BASE9"/>
      <sheetName val="97_사업추정(WEKI)9"/>
      <sheetName val="Tong_hop9"/>
      <sheetName val="95_1_1이후취득자산(숨기기상태)9"/>
      <sheetName val="sum1_(2)9"/>
      <sheetName val="3_바닥판설계9"/>
      <sheetName val="6월_공정외주9"/>
      <sheetName val="2_대외공문9"/>
      <sheetName val="2_총괄표9"/>
      <sheetName val="입출재고현황_(2)9"/>
      <sheetName val="504전기실_동부하-L9"/>
      <sheetName val="OUTER_AREA(겹침없음)9"/>
      <sheetName val="EL_표면적9"/>
      <sheetName val="TRE_TABLE9"/>
      <sheetName val="입찰내역_발주처_양식9"/>
      <sheetName val="Data_validation9"/>
      <sheetName val="turnover_reason퇴직사유9"/>
      <sheetName val="SKU_Basic_Data9"/>
      <sheetName val="Entity_Target9"/>
      <sheetName val="Check_Qualidade7"/>
      <sheetName val="De_Para8"/>
      <sheetName val="DETALLE_MENSUAL9"/>
      <sheetName val="Check_Aderencia7"/>
      <sheetName val="Drop-down_List8"/>
      <sheetName val="by_DD8"/>
      <sheetName val="VALIDACION_DE_DATOS8"/>
      <sheetName val="Jul-Sep_Actual_cost_(2)8"/>
      <sheetName val="Gerencial_IL7"/>
      <sheetName val="Base_Farol7"/>
      <sheetName val="ACTOS_POR_RIESGO7"/>
      <sheetName val="Nombre_de_SOP7"/>
      <sheetName val="drop_lists7"/>
      <sheetName val="Ventas_Campo7"/>
      <sheetName val="MRL_NON_SUPPLY_URU7"/>
      <sheetName val="AIIM_-_Empresas_Ext_20127"/>
      <sheetName val="KPIs_Hana7"/>
      <sheetName val="Catalago_de_refacciones_7"/>
      <sheetName val="Existencias_al_07-Nov-20127"/>
      <sheetName val="Check_GG7"/>
      <sheetName val="2__Indicadores7"/>
      <sheetName val="Ta_7"/>
      <sheetName val="부재료_비교(11년_vs_10년)7"/>
      <sheetName val="_손익기01_XL_x005f_x0000__x07"/>
      <sheetName val="Lista_de_Entrenamientos_RSO7"/>
      <sheetName val="Tablero_SDG10"/>
      <sheetName val="Lista_Areas10"/>
      <sheetName val="One_Page10"/>
      <sheetName val="Sub-Productos_HN8"/>
      <sheetName val="Eficiencia_linea7"/>
      <sheetName val="Sheet3_(2)7"/>
      <sheetName val="Lao_&amp;_Cam7"/>
      <sheetName val="Hoegaarden_20197"/>
      <sheetName val="Lao_&amp;_Cam_20197"/>
      <sheetName val="Malaysia_20197"/>
      <sheetName val="Singapore_20197"/>
      <sheetName val="Sheet2_(2)7"/>
      <sheetName val="_mngt_Pillar7"/>
      <sheetName val="요일_테이블_7"/>
      <sheetName val="Other_Listings7"/>
      <sheetName val="Pauta_RPS_Distribuição6"/>
      <sheetName val="Estoque_(2)6"/>
      <sheetName val="Comp_Inseguros6"/>
      <sheetName val="BNR_2012_в_ящике6"/>
      <sheetName val="_손익기01_XL_x02"/>
      <sheetName val="DATOS_DE_VALIDACIÓN6"/>
      <sheetName val="Datos_con6"/>
      <sheetName val="_Datos_Cond_6"/>
      <sheetName val="DO_NOT_MOVE6"/>
      <sheetName val="INGRESO_(2)6"/>
      <sheetName val="PG-K1610_(UEN_Areas)MNG6"/>
      <sheetName val="DATOS_GEN_6"/>
      <sheetName val="NUEVOS_CRITERIOS6"/>
      <sheetName val="Condiciones_Agua6"/>
      <sheetName val="Dropdown_list5"/>
      <sheetName val="__한국_AMP_ASP-23_판㧤가격__5"/>
      <sheetName val="11_䡸화채무줝ⴌ(AFS,HTM)085"/>
      <sheetName val="Drop_list5"/>
      <sheetName val="FX_Rates5"/>
      <sheetName val="Vagas_x_Candidatos5"/>
      <sheetName val="Proced_5"/>
      <sheetName val="Cut_Machine_Summary5"/>
      <sheetName val="Control_de_Fallas5"/>
      <sheetName val="Setup_for_Templates5"/>
      <sheetName val="Datos_emp5"/>
      <sheetName val="Validation_lists5"/>
      <sheetName val="TIPO_DE_ACTO5"/>
      <sheetName val="CRITICIDAD_DE_CI5"/>
      <sheetName val="Catálogo_de_CI5"/>
      <sheetName val="%_CUMPLIMIENTO5"/>
      <sheetName val="%_cumplimiento_5"/>
      <sheetName val="CALIFICACIONES_20193"/>
      <sheetName val="Lev_4_360_deg_check_Crit_Task3"/>
      <sheetName val="Lev_4_Chk_IC_Stock_Crit_Task3"/>
      <sheetName val="Lev_4_WMS_Putaway_Crit_Task3"/>
      <sheetName val="Listas_y_equipos_a_evaluar5"/>
      <sheetName val="Data_Reporte5"/>
      <sheetName val="Read_me5"/>
      <sheetName val="NAZ_Strategy3"/>
      <sheetName val="Champions_List4"/>
      <sheetName val="Daily_Dashboard5"/>
      <sheetName val="Mapeo_SKUs5"/>
      <sheetName val="Vol_(Ds)5"/>
      <sheetName val="Vol_(Ka)5"/>
      <sheetName val="Vol_(Oth)5"/>
      <sheetName val="Vol_(Oth)_Cortesias5"/>
      <sheetName val="INPUT-Cust_Sugg_Margin(Ds)5"/>
      <sheetName val="On_Invoice5"/>
      <sheetName val="INPUT-Cust_Sugg_Margin(Ka)5"/>
      <sheetName val="INPUT_SKUs5"/>
      <sheetName val="Brand_P&amp;L3"/>
      <sheetName val="SUPERMONT_P3"/>
      <sheetName val="Data_selection3"/>
      <sheetName val="1_3"/>
      <sheetName val="Customer_&amp;_SO3"/>
      <sheetName val="Session_Proposal3"/>
      <sheetName val="Análise_Tempos2"/>
      <sheetName val="Validação_de_Dados2"/>
      <sheetName val="No_llenar_2"/>
      <sheetName val="PDA_BOP2"/>
      <sheetName val="Incentivo_Automóvil2"/>
      <sheetName val="PROCESS_MD2"/>
      <sheetName val="Lista_de_Motivos2"/>
      <sheetName val="Ponto_Crítico_-_Resp__Plano2"/>
      <sheetName val="Lista_Funcionários_(2)2"/>
      <sheetName val="PAINEL_RECOLHA_CRÉDITO2"/>
      <sheetName val="Gráficos_-_CDD2"/>
      <sheetName val="Dropdown_Menu1"/>
      <sheetName val="Project_List1"/>
      <sheetName val="Выпадающие_списки1"/>
      <sheetName val="SOP_Freshness"/>
      <sheetName val="Master_Data"/>
      <sheetName val="Dimension_IN_Sheet1!D1912"/>
      <sheetName val="Dimension_IN_1912"/>
      <sheetName val="自定义"/>
      <sheetName val="[손익기01_XL_x0000__x0000_DePara8"/>
      <sheetName val="_손익기01_XL_x0000__x0000_DePara8"/>
      <sheetName val="_손익기01_XL_x0000__x03"/>
      <sheetName val="[손익기01_XL_x0000__x0000_DePara9"/>
      <sheetName val="_손익기01_XL_x0000__x0000_DePara9"/>
      <sheetName val="_손익기01_XL_x0000__x04"/>
      <sheetName val="_손익기01_XL_x005f_x0000__x4"/>
      <sheetName val="_손익기01_XL_x005f_x0000__x5"/>
      <sheetName val="_손익기01_XL_x005f_x0000__x6"/>
      <sheetName val="链接数据"/>
      <sheetName val="类型"/>
      <sheetName val="2020 MMR12"/>
      <sheetName val="不安全行为分析"/>
      <sheetName val="입문 트랜드(종합분석)"/>
      <sheetName val="Codes"/>
      <sheetName val="Maestras"/>
      <sheetName val="Master CE"/>
      <sheetName val="CE_Final "/>
      <sheetName val="CALENDAR"/>
      <sheetName val="OL LIST"/>
      <sheetName val="YTD GUEST LIST"/>
      <sheetName val="Session Full list"/>
      <sheetName val="FOOD PAYMENT update JAN"/>
      <sheetName val="Rate card F19 "/>
      <sheetName val="Master Plan  (update)"/>
      <sheetName val="The KPI "/>
      <sheetName val="Mentor Plan "/>
      <sheetName val="Master Plan "/>
      <sheetName val="Tier 1 GOV_PC Networking "/>
      <sheetName val="Tier 1 LBO "/>
      <sheetName val="工作表7"/>
      <sheetName val="Introduction"/>
      <sheetName val="Preferred Option"/>
      <sheetName val="3_ReasonCode"/>
      <sheetName val="_손익기01.XL_x005f_x0000__x005f_x005f_x0"/>
      <sheetName val="pp"/>
      <sheetName val="Book1"/>
      <sheetName val="部门"/>
      <sheetName val="Admin"/>
      <sheetName val="1월 목표"/>
      <sheetName val="FILIAL MINAS"/>
      <sheetName val="info for drop box"/>
      <sheetName val="Curvas"/>
      <sheetName val="Pivot"/>
      <sheetName val="KPIs- TTP, PTP, People Turnover"/>
      <sheetName val="TO_Data_Base22"/>
      <sheetName val="YTD_Summary21"/>
      <sheetName val="Month_Summary21"/>
      <sheetName val="Trial_Balance_MAY_200921"/>
      <sheetName val="TB_Pivot21"/>
      <sheetName val="total_per_LB_LB221"/>
      <sheetName val="Trial_Balance_Vlookup21"/>
      <sheetName val="Trial_Balance_APRIL_200921"/>
      <sheetName val="Roll_Out_AQ21"/>
      <sheetName val="Evolução_mandamentos21"/>
      <sheetName val="Planilha_resultados20"/>
      <sheetName val="Historico_200320"/>
      <sheetName val="Sig_Cycles_Accts_&amp;_Processes20"/>
      <sheetName val="Fixed_ZBB14"/>
      <sheetName val="E_法规NC14"/>
      <sheetName val="3_ISo_YTD14"/>
      <sheetName val="Données_LMU14"/>
      <sheetName val="Brazil_Sovereign14"/>
      <sheetName val="Resumen_Costo14"/>
      <sheetName val="Extract_Loss14"/>
      <sheetName val="QA_跟踪记录表14"/>
      <sheetName val="5_114"/>
      <sheetName val="Base_de_Dados14"/>
      <sheetName val="Como_Estamos14"/>
      <sheetName val="Controls_data16"/>
      <sheetName val="RG_Depots14"/>
      <sheetName val="material_data14"/>
      <sheetName val="other_data14"/>
      <sheetName val="Database_(RUR)Mar_YTD14"/>
      <sheetName val="SKU_Mapping14"/>
      <sheetName val="Drop_Down14"/>
      <sheetName val="Raw_Data14"/>
      <sheetName val="EBM-2_GHQ14"/>
      <sheetName val="Base_PEF15"/>
      <sheetName val="Testing_Template_Guidance14"/>
      <sheetName val="Test_Programs14"/>
      <sheetName val="Dados_BLP14"/>
      <sheetName val="FJJX_Bud_IB13"/>
      <sheetName val="JOB_PROFILE_-_LAS14"/>
      <sheetName val="ARdistr_(2)14"/>
      <sheetName val="look-up_data13"/>
      <sheetName val="Prd_Hierarchy(产品层级)13"/>
      <sheetName val="Com_(2PK)13"/>
      <sheetName val="Project_Code13"/>
      <sheetName val="요일_테이블14"/>
      <sheetName val="요일_테이블_(2)13"/>
      <sheetName val="Prd_Hierarchy(产品层次)13"/>
      <sheetName val="전사_PL15"/>
      <sheetName val="자금_제외_PL15"/>
      <sheetName val="자금_PL15"/>
      <sheetName val="전사_BS15"/>
      <sheetName val="자금_제외_BS15"/>
      <sheetName val="자금_BS15"/>
      <sheetName val="BS_계정_설명15"/>
      <sheetName val="_Cash_Flow(전사)15"/>
      <sheetName val="_Cash_Flow(자금제외)15"/>
      <sheetName val="_Cash_Flow(자금)15"/>
      <sheetName val="ROIC_15"/>
      <sheetName val="인건비_명세15"/>
      <sheetName val="판관비_명세15"/>
      <sheetName val="OH_Cost경비(내역)15"/>
      <sheetName val="OH_Cost경비(배부기준)15"/>
      <sheetName val="기타수지&amp;특별손익_명세15"/>
      <sheetName val="업무연락_(2)14"/>
      <sheetName val="제시_손익계산서14"/>
      <sheetName val="01_02월_성과급15"/>
      <sheetName val="M_7회차_담금_계획14"/>
      <sheetName val="팀별_실적14"/>
      <sheetName val="팀별_실적_(환산)14"/>
      <sheetName val="4__Inj_투자상세내역14"/>
      <sheetName val="3__Blow_투자_상세내역14"/>
      <sheetName val="Process_List14"/>
      <sheetName val="7_(2)14"/>
      <sheetName val="_손익기01_XL13"/>
      <sheetName val="Income_Stmt13"/>
      <sheetName val="drop_down_list13"/>
      <sheetName val="[손익기01_XL_x005f_x0000__x005f_x0000_DePara13"/>
      <sheetName val="Quarterly_LBO_Model13"/>
      <sheetName val="Figures_Report12"/>
      <sheetName val="[손익기01_XL13"/>
      <sheetName val="_손익기01_XL_x005f_x0000__x005f_x0000_DePara13"/>
      <sheetName val="Fare_prices12"/>
      <sheetName val="Hotel_prices12"/>
      <sheetName val="Set_Up13"/>
      <sheetName val="15년_BL_사계13"/>
      <sheetName val="1_종합손익(도급)13"/>
      <sheetName val="1_종합손익(주택,개발)13"/>
      <sheetName val="2_실행예산13"/>
      <sheetName val="2_2과부족13"/>
      <sheetName val="2_3원가절감13"/>
      <sheetName val="8_외주비집행현황13"/>
      <sheetName val="9_자재비13"/>
      <sheetName val="10_현장집행13"/>
      <sheetName val="3_추가원가13"/>
      <sheetName val="3_추가원가_(2)13"/>
      <sheetName val="4_사전공사13"/>
      <sheetName val="5_추정공사비13"/>
      <sheetName val="6_금융비용13"/>
      <sheetName val="7_공사비집행현황(총괄)13"/>
      <sheetName val="11_1생산성13"/>
      <sheetName val="11_2인원산출13"/>
      <sheetName val="Classification_分类12"/>
      <sheetName val="tab_STATUS_DO_PROCESSO_12"/>
      <sheetName val="Perf__Plan__Diário112"/>
      <sheetName val="In_(2)12"/>
      <sheetName val="__한국_AMP_ASP-23_판매가격__12"/>
      <sheetName val="CC_Down_load_071612"/>
      <sheetName val="변경실행(2차)_12"/>
      <sheetName val="나_출고12"/>
      <sheetName val="나_입고12"/>
      <sheetName val="09년_인건비(속리산)12"/>
      <sheetName val="합산목표(감가+57_5)12"/>
      <sheetName val="제조원가_원단위_분석12"/>
      <sheetName val="종합표양식(품의_&amp;_입고)_212"/>
      <sheetName val="원가관리_(동월대비)12"/>
      <sheetName val="b_balju_(2)12"/>
      <sheetName val="2-2_매출분석12"/>
      <sheetName val="몰드시스템_리스트12"/>
      <sheetName val="11_외화채무증권(AFS,HTM)0812"/>
      <sheetName val="13_감액TEST_0812"/>
      <sheetName val="12년_CF(9월)12"/>
      <sheetName val="중기조종사_단위단가12"/>
      <sheetName val="6PILE__(돌출)12"/>
      <sheetName val="기성청구_공문12"/>
      <sheetName val="Sheet1_(2)12"/>
      <sheetName val="CLASIFICACION_DE_AI12"/>
      <sheetName val="Base_da_Datos12"/>
      <sheetName val="slide_24_cat_A12"/>
      <sheetName val="slide_82_cat_b12"/>
      <sheetName val="Dados_dos_Produtos12"/>
      <sheetName val="09~10년_매출계획12"/>
      <sheetName val="1_MDF1공장12"/>
      <sheetName val="Incident_유형구분표12"/>
      <sheetName val="3YP2016-Bottom_up11"/>
      <sheetName val="DD_list12"/>
      <sheetName val="Base_de_Datos11"/>
      <sheetName val="Clasif_11"/>
      <sheetName val="Supply_Cost_Centers11"/>
      <sheetName val="Cond__Inseguros11"/>
      <sheetName val="Comp__Inseguros11"/>
      <sheetName val="Lista_de_datos11"/>
      <sheetName val="MASTER_APP11"/>
      <sheetName val="2_카드채권(대출포함)11"/>
      <sheetName val="表21_净利润调节表11"/>
      <sheetName val="Lista_CI11"/>
      <sheetName val="Dashboard_Prevención_Riesgos_10"/>
      <sheetName val="TOP_KPIs_MTM10"/>
      <sheetName val="PLAN_DE_ACCION10"/>
      <sheetName val="Faro_de_Indicadores10"/>
      <sheetName val="Farol_Acciones11"/>
      <sheetName val="Lista_de_Entrenamientos11"/>
      <sheetName val="Unidades_SAC-REVENDA12"/>
      <sheetName val="FornecM_Check10"/>
      <sheetName val="Share_Price_200211"/>
      <sheetName val="_DD_List11"/>
      <sheetName val="BEP_加薪_KPI10"/>
      <sheetName val="Estratificación_AI10"/>
      <sheetName val="condicion_inseguras10"/>
      <sheetName val="Actos_Inseguros10"/>
      <sheetName val="Control_de_incidentes10"/>
      <sheetName val="Plan_de_Acción10"/>
      <sheetName val="Issues_List_Payments10"/>
      <sheetName val="do_not_delete10"/>
      <sheetName val="Grafica_Actos10"/>
      <sheetName val="APAC_S10"/>
      <sheetName val="APAC_N10"/>
      <sheetName val="Slide_output10"/>
      <sheetName val="[손익기01_XL??DePara10"/>
      <sheetName val="Farol_Metas10"/>
      <sheetName val="Mod_Relac_10"/>
      <sheetName val="Condiciones_SyE10"/>
      <sheetName val="REALxMETA_-_CERVEJA12"/>
      <sheetName val="REALxMETA_-_REFRI12"/>
      <sheetName val="Directrices_de_Metas_201710"/>
      <sheetName val="Data_validation10"/>
      <sheetName val="_손익기01_XL_x005f_x005f_x005f_x0000__x005f_x005f_10"/>
      <sheetName val="Hazards_Analysis-隐患分析10"/>
      <sheetName val="F08_-_Asia_Pac_Full_Year_Q311"/>
      <sheetName val="Top_Priorities11"/>
      <sheetName val="Listco_Stock11"/>
      <sheetName val="Intl_Purchase11"/>
      <sheetName val="FY_outlook11"/>
      <sheetName val="CY_outlook11"/>
      <sheetName val="Cash_metrics11"/>
      <sheetName val="P6_711"/>
      <sheetName val="DATOS_BASE10"/>
      <sheetName val="97_사업추정(WEKI)10"/>
      <sheetName val="Tong_hop10"/>
      <sheetName val="95_1_1이후취득자산(숨기기상태)10"/>
      <sheetName val="sum1_(2)10"/>
      <sheetName val="3_바닥판설계10"/>
      <sheetName val="6월_공정외주10"/>
      <sheetName val="2_대외공문10"/>
      <sheetName val="2_총괄표10"/>
      <sheetName val="입출재고현황_(2)10"/>
      <sheetName val="504전기실_동부하-L10"/>
      <sheetName val="OUTER_AREA(겹침없음)10"/>
      <sheetName val="EL_표면적10"/>
      <sheetName val="TRE_TABLE10"/>
      <sheetName val="입찰내역_발주처_양식10"/>
      <sheetName val="POC_LIST10"/>
      <sheetName val="turnover_reason퇴직사유10"/>
      <sheetName val="SKU_Basic_Data10"/>
      <sheetName val="Entity_Target10"/>
      <sheetName val="DETALLE_MENSUAL10"/>
      <sheetName val="Drop-down_List9"/>
      <sheetName val="by_DD9"/>
      <sheetName val="VALIDACION_DE_DATOS9"/>
      <sheetName val="Jul-Sep_Actual_cost_(2)9"/>
      <sheetName val="Check_Qualidade8"/>
      <sheetName val="De_Para9"/>
      <sheetName val="Check_Aderencia8"/>
      <sheetName val="_손익기01_XL_x005f_x0000__x08"/>
      <sheetName val="부재료_비교(11년_vs_10년)8"/>
      <sheetName val="Base_Farol8"/>
      <sheetName val="Gerencial_IL8"/>
      <sheetName val="Ventas_Campo8"/>
      <sheetName val="ACTOS_POR_RIESGO8"/>
      <sheetName val="drop_lists8"/>
      <sheetName val="MRL_NON_SUPPLY_URU8"/>
      <sheetName val="AIIM_-_Empresas_Ext_20128"/>
      <sheetName val="KPIs_Hana8"/>
      <sheetName val="Catalago_de_refacciones_8"/>
      <sheetName val="Existencias_al_07-Nov-20128"/>
      <sheetName val="Check_GG8"/>
      <sheetName val="Sheet3_(2)8"/>
      <sheetName val="Nombre_de_SOP8"/>
      <sheetName val="Lao_&amp;_Cam8"/>
      <sheetName val="Hoegaarden_20198"/>
      <sheetName val="Lao_&amp;_Cam_20198"/>
      <sheetName val="Malaysia_20198"/>
      <sheetName val="Singapore_20198"/>
      <sheetName val="Sheet2_(2)8"/>
      <sheetName val="요일_테이블_8"/>
      <sheetName val="Other_Listings8"/>
      <sheetName val="2__Indicadores8"/>
      <sheetName val="Ta_8"/>
      <sheetName val="Lista_de_Entrenamientos_RSO8"/>
      <sheetName val="Tablero_SDG11"/>
      <sheetName val="Lista_Areas11"/>
      <sheetName val="One_Page11"/>
      <sheetName val="Sub-Productos_HN9"/>
      <sheetName val="Eficiencia_linea8"/>
      <sheetName val="_mngt_Pillar8"/>
      <sheetName val="Pauta_RPS_Distribuição7"/>
      <sheetName val="Estoque_(2)7"/>
      <sheetName val="BNR_2012_в_ящике7"/>
      <sheetName val="Comp_Inseguros7"/>
      <sheetName val="DO_NOT_MOVE7"/>
      <sheetName val="DATOS_DE_VALIDACIÓN7"/>
      <sheetName val="Datos_con7"/>
      <sheetName val="_Datos_Cond_7"/>
      <sheetName val="INGRESO_(2)7"/>
      <sheetName val="PG-K1610_(UEN_Areas)MNG7"/>
      <sheetName val="DATOS_GEN_7"/>
      <sheetName val="NUEVOS_CRITERIOS7"/>
      <sheetName val="Condiciones_Agua7"/>
      <sheetName val="__한국_AMP_ASP-23_판㧤가격__6"/>
      <sheetName val="11_䡸화채무줝ⴌ(AFS,HTM)086"/>
      <sheetName val="Drop_list6"/>
      <sheetName val="FX_Rates6"/>
      <sheetName val="Dropdown_list6"/>
      <sheetName val="Vagas_x_Candidatos6"/>
      <sheetName val="Proced_6"/>
      <sheetName val="Cut_Machine_Summary6"/>
      <sheetName val="Control_de_Fallas6"/>
      <sheetName val="Setup_for_Templates6"/>
      <sheetName val="Datos_emp6"/>
      <sheetName val="Validation_lists6"/>
      <sheetName val="TIPO_DE_ACTO6"/>
      <sheetName val="CRITICIDAD_DE_CI6"/>
      <sheetName val="Catálogo_de_CI6"/>
      <sheetName val="%_CUMPLIMIENTO6"/>
      <sheetName val="%_cumplimiento_6"/>
      <sheetName val="CALIFICACIONES_20194"/>
      <sheetName val="Lev_4_360_deg_check_Crit_Task4"/>
      <sheetName val="Lev_4_Chk_IC_Stock_Crit_Task4"/>
      <sheetName val="Lev_4_WMS_Putaway_Crit_Task4"/>
      <sheetName val="Listas_y_equipos_a_evaluar6"/>
      <sheetName val="Data_Reporte6"/>
      <sheetName val="Read_me6"/>
      <sheetName val="NAZ_Strategy4"/>
      <sheetName val="Champions_List5"/>
      <sheetName val="Daily_Dashboard6"/>
      <sheetName val="Mapeo_SKUs6"/>
      <sheetName val="Vol_(Ds)6"/>
      <sheetName val="Vol_(Ka)6"/>
      <sheetName val="Vol_(Oth)6"/>
      <sheetName val="Vol_(Oth)_Cortesias6"/>
      <sheetName val="INPUT-Cust_Sugg_Margin(Ds)6"/>
      <sheetName val="On_Invoice6"/>
      <sheetName val="INPUT-Cust_Sugg_Margin(Ka)6"/>
      <sheetName val="INPUT_SKUs6"/>
      <sheetName val="Brand_P&amp;L4"/>
      <sheetName val="SUPERMONT_P4"/>
      <sheetName val="Data_selection4"/>
      <sheetName val="1_4"/>
      <sheetName val="Customer_&amp;_SO4"/>
      <sheetName val="Session_Proposal4"/>
      <sheetName val="Análise_Tempos3"/>
      <sheetName val="Incentivo_Automóvil3"/>
      <sheetName val="Dropdown_Menu2"/>
      <sheetName val="PDA_BOP3"/>
      <sheetName val="Validação_de_Dados3"/>
      <sheetName val="No_llenar_3"/>
      <sheetName val="PROCESS_MD3"/>
      <sheetName val="Lista_de_Motivos3"/>
      <sheetName val="Ponto_Crítico_-_Resp__Plano3"/>
      <sheetName val="Lista_Funcionários_(2)3"/>
      <sheetName val="PAINEL_RECOLHA_CRÉDITO3"/>
      <sheetName val="Gráficos_-_CDD3"/>
      <sheetName val="Project_List2"/>
      <sheetName val="Выпадающие_списки2"/>
      <sheetName val="유류대_현황1"/>
      <sheetName val="mapping_(2)1"/>
      <sheetName val="Ref_1"/>
      <sheetName val="2_3_Projects_Status1"/>
      <sheetName val="SOP_Freshness1"/>
      <sheetName val="Listas_desplegables1"/>
      <sheetName val="Resumen_General1"/>
      <sheetName val="Cátalogo_de_CI1"/>
      <sheetName val="Hoja2_(2)1"/>
      <sheetName val="Technology_check_list1"/>
      <sheetName val="Status_de_Usuario1"/>
      <sheetName val="Actos_y_Condiciones_1"/>
      <sheetName val="NO_BORRAR1"/>
      <sheetName val="Formato_checklist_Lab1"/>
      <sheetName val="Master_Data1"/>
      <sheetName val="1__템플릿1"/>
      <sheetName val="2__작성_참고사항1"/>
      <sheetName val="Consolidated_Project_List1"/>
      <sheetName val="Fixed_Cost1"/>
      <sheetName val="Dimension_IN_Sheet1!D19121"/>
      <sheetName val="Dimension_IN_19121"/>
      <sheetName val="Manage_to_Sustain"/>
      <sheetName val="Packages_Info"/>
      <sheetName val="Meeting_List"/>
      <sheetName val="IT_CHNG_01-K"/>
      <sheetName val="IPE"/>
      <sheetName val="GBP_BODS"/>
      <sheetName val="GFP_CFIN"/>
      <sheetName val="GDP_MDG"/>
      <sheetName val="GUP_SLT"/>
      <sheetName val="GAP_SOL"/>
      <sheetName val="GXP_PO"/>
      <sheetName val="%_Automation_Analysis_Business"/>
      <sheetName val="BD_Geral"/>
      <sheetName val="Produtos_e_Custos1"/>
      <sheetName val="EE"/>
      <sheetName val="BD_-_Realizado1"/>
      <sheetName val="Cadastro_de_Veículos1"/>
      <sheetName val="Sispec"/>
      <sheetName val="CIP"/>
      <sheetName val="[손익기01_XL_x0000__x0000_DePara10"/>
      <sheetName val="_손익기01_XL_x0000__x0000_DePara10"/>
      <sheetName val="_손익기01_XL_x0000__x05"/>
      <sheetName val="_손익기01_XL_x005f_x0000__x7"/>
      <sheetName val="POCM 배송지"/>
      <sheetName val="ÿÿ"/>
      <sheetName val="公式页面"/>
      <sheetName val="Mapping "/>
      <sheetName val="WS DB"/>
      <sheetName val="DB"/>
      <sheetName val="Region "/>
      <sheetName val="SKU DB"/>
      <sheetName val="SKU信息"/>
      <sheetName val="销售项费用项"/>
      <sheetName val="陈列描述"/>
      <sheetName val="大组压仓"/>
      <sheetName val="CPR用Rate&amp;Mix"/>
      <sheetName val="CC"/>
      <sheetName val="기본사항"/>
      <sheetName val="_손익기01_XL_x0000__x4"/>
      <sheetName val="_손익기01_XL_x0000__x5"/>
      <sheetName val="_손익기01_XL_x0000__x6"/>
      <sheetName val="_손익기01_XL_x0000__x7"/>
      <sheetName val="SAP info"/>
      <sheetName val="Target Book"/>
      <sheetName val="辅助表格"/>
      <sheetName val="10 麦汁CIP清洗标准水量"/>
      <sheetName val="BU"/>
      <sheetName val="데이터 유효성 목록"/>
      <sheetName val="后台"/>
      <sheetName val="AL来源"/>
      <sheetName val="Name List"/>
      <sheetName val="Ref_New Contract Model"/>
      <sheetName val="Dec"/>
      <sheetName val="Temp"/>
      <sheetName val="KAM설비"/>
      <sheetName val="Back Data 1"/>
      <sheetName val="자금추ȕ"/>
      <sheetName val="05년말(건재)"/>
      <sheetName val="건축내역"/>
      <sheetName val="물량표S"/>
      <sheetName val="2.주요계수총괄"/>
      <sheetName val="원가서"/>
      <sheetName val="선택창"/>
      <sheetName val="외주현황.wq1"/>
      <sheetName val="선급비용"/>
      <sheetName val="시산표"/>
      <sheetName val="중기"/>
      <sheetName val="연돌일위집계"/>
      <sheetName val="월별예산"/>
      <sheetName val="原価センタ"/>
      <sheetName val="P.M 별"/>
      <sheetName val="FRQ"/>
      <sheetName val="기준"/>
      <sheetName val="최소가치(간편)-회계"/>
      <sheetName val="회사제시"/>
      <sheetName val="대투_보관자료 변경"/>
      <sheetName val="내수자재"/>
      <sheetName val="#5"/>
      <sheetName val="#3"/>
      <sheetName val="원본"/>
      <sheetName val="Appendix(권장,단체)"/>
      <sheetName val="BM_NEW2"/>
      <sheetName val="Project Brief"/>
      <sheetName val="현금"/>
      <sheetName val="교각계산"/>
      <sheetName val="한강운반비"/>
      <sheetName val="0001new"/>
      <sheetName val="동절기투입(자재)"/>
      <sheetName val="GAEYO"/>
      <sheetName val="단면 (2)"/>
      <sheetName val="FILE1"/>
      <sheetName val="FILE2"/>
      <sheetName val="6-5공구원본"/>
      <sheetName val="부대시행1"/>
      <sheetName val="부대시행1 (2)"/>
      <sheetName val="부대시행2"/>
      <sheetName val="부대토공"/>
      <sheetName val="부대철콘"/>
      <sheetName val="부대토공실"/>
      <sheetName val="부대철콘실"/>
      <sheetName val="Sheet8"/>
      <sheetName val="위탁매매_1103"/>
      <sheetName val="자기매매_1103"/>
      <sheetName val="위탁매매_1109"/>
      <sheetName val="자기매매_1109"/>
      <sheetName val="_x005f_x0018_"/>
      <sheetName val="1.차입금"/>
      <sheetName val="choose"/>
      <sheetName val="품목코드표"/>
      <sheetName val="주행"/>
      <sheetName val="변동인원"/>
      <sheetName val="P_M_별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15년"/>
      <sheetName val="16년"/>
      <sheetName val="근거 및 가정"/>
      <sheetName val="118.세금과공과"/>
      <sheetName val="수선비"/>
      <sheetName val="특외대"/>
      <sheetName val=" 견적서"/>
      <sheetName val="Training"/>
      <sheetName val="Facility Information"/>
      <sheetName val="General"/>
      <sheetName val="People"/>
      <sheetName val="Quality"/>
      <sheetName val="Risk"/>
      <sheetName val="주차"/>
      <sheetName val="본문"/>
      <sheetName val="_x005f_x0018__x005f_x0000_"/>
      <sheetName val="기초"/>
      <sheetName val="재무상태표"/>
      <sheetName val="일위(PN)"/>
      <sheetName val="1.본사계정별"/>
      <sheetName val="cp-e1"/>
      <sheetName val="ETC"/>
      <sheetName val="95하U$가격"/>
      <sheetName val="3.6.2남양주택배"/>
      <sheetName val="구성비"/>
      <sheetName val="자금운용계획표"/>
      <sheetName val="해외 기술훈련비 (합계)"/>
      <sheetName val="접대비"/>
      <sheetName val="Bond"/>
      <sheetName val="부서별집계표"/>
      <sheetName val="금년실적"/>
      <sheetName val="부속동"/>
      <sheetName val="공사비증감"/>
      <sheetName val="설산1.나"/>
      <sheetName val="본사S"/>
      <sheetName val="要員用master"/>
      <sheetName val="찍기"/>
      <sheetName val="단가일람"/>
      <sheetName val="단위량당중기"/>
      <sheetName val="수량집계표(舊)"/>
      <sheetName val="BOX-1510"/>
      <sheetName val="부대공"/>
      <sheetName val="경비2내역"/>
      <sheetName val="슬래԰"/>
      <sheetName val="슬래"/>
      <sheetName val="슬래렀"/>
      <sheetName val="슬래㰀"/>
      <sheetName val="총괄표"/>
      <sheetName val="내역표지"/>
      <sheetName val="공통비(전체)"/>
      <sheetName val="토목공사"/>
      <sheetName val="새공통(96임금인상기준)"/>
      <sheetName val="비교1"/>
      <sheetName val="유림총괄"/>
      <sheetName val="PIPE"/>
      <sheetName val="FLANGE"/>
      <sheetName val="VALVE"/>
      <sheetName val="MEMORY"/>
      <sheetName val="정부노임단가"/>
      <sheetName val="전도품의"/>
      <sheetName val="직재"/>
      <sheetName val="PAD TR보호대기초"/>
      <sheetName val="HANDHOLE(2)"/>
      <sheetName val="가로등기초"/>
      <sheetName val="YES-T"/>
      <sheetName val="음료실행"/>
      <sheetName val="철골공사"/>
      <sheetName val="슬래밀"/>
      <sheetName val="슬래　"/>
      <sheetName val="1월 예산"/>
      <sheetName val="슬래尀"/>
      <sheetName val="슬래⠀"/>
      <sheetName val="0101시산표"/>
      <sheetName val="oct"/>
      <sheetName val="sep"/>
      <sheetName val="미지급금"/>
      <sheetName val="선급금"/>
      <sheetName val="aug"/>
      <sheetName val="단기차입금"/>
      <sheetName val="외화보통예금"/>
      <sheetName val="외회외상매입금"/>
      <sheetName val="외화외상매출금"/>
      <sheetName val="장기차입금"/>
      <sheetName val="_x0018_?"/>
      <sheetName val="TO"/>
      <sheetName val="C2121"/>
      <sheetName val="C2123"/>
      <sheetName val="C2124"/>
      <sheetName val="C2125"/>
      <sheetName val="C2127"/>
      <sheetName val="C2122"/>
      <sheetName val="Utility Usage YTN TOWER"/>
      <sheetName val="공사비예산서(토목분)"/>
      <sheetName val="4-2물건누계"/>
      <sheetName val="인수기간별S"/>
      <sheetName val="본부유지율"/>
      <sheetName val="자동차추정자료"/>
      <sheetName val="손해감소유형"/>
      <sheetName val="7"/>
      <sheetName val="항목"/>
      <sheetName val="공사내역"/>
      <sheetName val="설계명세서(선로)"/>
      <sheetName val="시화점실행"/>
      <sheetName val="전체철근집계"/>
      <sheetName val="내역(한신APT)"/>
      <sheetName val="1. 시공측량"/>
      <sheetName val="건축2"/>
      <sheetName val="자재목록"/>
      <sheetName val="품목"/>
      <sheetName val="FB25JN"/>
      <sheetName val="22철거수량"/>
      <sheetName val="분전함신설"/>
      <sheetName val="접지1종"/>
      <sheetName val="설치원가"/>
      <sheetName val="터파기및재료"/>
      <sheetName val="3본사"/>
      <sheetName val="98지급계획"/>
      <sheetName val="125PIECE"/>
      <sheetName val="수종별수량 (2)"/>
      <sheetName val="구간별수량"/>
      <sheetName val="소총괄표"/>
      <sheetName val="아파트연면적비율(참고1)"/>
      <sheetName val="전선 및 전선관"/>
      <sheetName val="도"/>
      <sheetName val="의정부문예회관변경내역"/>
      <sheetName val="슬래"/>
      <sheetName val="슬래堌"/>
      <sheetName val="연습"/>
      <sheetName val="슬래䰀"/>
      <sheetName val="슬래簀"/>
      <sheetName val="슬래퀀"/>
      <sheetName val="슬래뀀"/>
      <sheetName val="슬래瀀"/>
      <sheetName val="슬래鰀"/>
      <sheetName val="BD%_70s"/>
      <sheetName val="11월"/>
      <sheetName val="설문 평가"/>
      <sheetName val="B-1.기본정보"/>
      <sheetName val="노동부"/>
      <sheetName val="RAW"/>
      <sheetName val="PL"/>
      <sheetName val="CS"/>
      <sheetName val="Facility_Information"/>
      <sheetName val="일위대가(계측기설치)"/>
      <sheetName val="예산계정INDEX"/>
      <sheetName val="환율change"/>
      <sheetName val="상가지급현황"/>
      <sheetName val="부하(성남)"/>
      <sheetName val="FP"/>
      <sheetName val="공정"/>
      <sheetName val="손익실적"/>
      <sheetName val="손익실적(매출원가)"/>
      <sheetName val="당년사별실적"/>
      <sheetName val="VXXXX"/>
      <sheetName val="탄산"/>
      <sheetName val="감액총괄표"/>
      <sheetName val="9GNG운반"/>
      <sheetName val="납부내역총괄표 (수정)"/>
      <sheetName val="IS"/>
      <sheetName val="#1) 투자 구분"/>
      <sheetName val="P-산#1-1(WOWA1)"/>
      <sheetName val="FA-LISTING"/>
      <sheetName val="대투_보관자료_변경"/>
      <sheetName val="기본"/>
      <sheetName val="97손익계획"/>
      <sheetName val="가정"/>
      <sheetName val="Rev. Recon 1"/>
      <sheetName val="1.고객불만건수"/>
      <sheetName val="1.변경범위"/>
      <sheetName val="합천내역"/>
      <sheetName val="전기단가조사서"/>
      <sheetName val="Weekly Progress(계장)"/>
      <sheetName val="기초정보"/>
      <sheetName val="2013.2월 연결대상"/>
      <sheetName val="BS_Package_내부거래"/>
      <sheetName val="PL_Package_내부거래"/>
      <sheetName val="공시용PL"/>
      <sheetName val="예산대실적_작성"/>
      <sheetName val="2-2.투자"/>
      <sheetName val="기본연봉"/>
      <sheetName val="사원"/>
      <sheetName val="9-1차이내역"/>
      <sheetName val="Proj. Fin."/>
      <sheetName val="ITS Assumptions"/>
      <sheetName val="Proj__Fin_"/>
      <sheetName val="2-2_투자"/>
      <sheetName val="생산성(2차)"/>
      <sheetName val="요약(1차)"/>
      <sheetName val="일반관리비"/>
      <sheetName val="보고서"/>
      <sheetName val="Back_Data_1"/>
      <sheetName val="※유형구분분류"/>
      <sheetName val="※类型区分分类"/>
      <sheetName val="7.Utility Analysis"/>
      <sheetName val="Operational Activities"/>
      <sheetName val="予算実績管理現況"/>
      <sheetName val="첨부1(손익관리)"/>
      <sheetName val="카메라2"/>
      <sheetName val="카메라1"/>
      <sheetName val="첨부11(기계정지개선)"/>
      <sheetName val="카메라3"/>
      <sheetName val="카메라-생산실적"/>
      <sheetName val="카메라-생산실적분석"/>
      <sheetName val="PUR-12K"/>
      <sheetName val="TSCLFEB"/>
      <sheetName val="명단원자료(이전)"/>
      <sheetName val="약품공급2"/>
      <sheetName val="환율표"/>
      <sheetName val="월별자료"/>
      <sheetName val="수량산출"/>
      <sheetName val="해외_기술훈련비_(합계)"/>
      <sheetName val="118_세금과공과"/>
      <sheetName val="SALE"/>
      <sheetName val="세액계산"/>
      <sheetName val="조정분개"/>
      <sheetName val="이테크_손익"/>
      <sheetName val="군장_손익"/>
      <sheetName val="에스엠지_손익"/>
      <sheetName val="인프라_손익"/>
      <sheetName val="중국연결_손익"/>
      <sheetName val="사우디_손익"/>
      <sheetName val="말레이_손익"/>
      <sheetName val="인니_손익"/>
      <sheetName val="연결손익요약(기획차이)"/>
      <sheetName val="연결손익요약(보고용)"/>
      <sheetName val="연결재무"/>
      <sheetName val="이테크_재무"/>
      <sheetName val="군장_재무"/>
      <sheetName val="에스엠지_재무"/>
      <sheetName val="인프라_재무"/>
      <sheetName val="중국연결_재무"/>
      <sheetName val="사우디_재무"/>
      <sheetName val="말레이_재무"/>
      <sheetName val="인니_재무"/>
      <sheetName val="CE(공)"/>
      <sheetName val="연결손익"/>
      <sheetName val="building"/>
      <sheetName val="2_주요계수총괄"/>
      <sheetName val="Project_Brief"/>
      <sheetName val="P_M_별1"/>
      <sheetName val="단면_(2)"/>
      <sheetName val="1_본사계정별"/>
      <sheetName val="상품입력"/>
      <sheetName val="CF表示組替表"/>
      <sheetName val="배수공"/>
      <sheetName val="추정pl"/>
      <sheetName val="support"/>
      <sheetName val="개산공사비"/>
      <sheetName val="선평원내역"/>
      <sheetName val="기둥(원형)"/>
      <sheetName val="판가반영"/>
      <sheetName val="화전내"/>
      <sheetName val="수량산출내역1115"/>
      <sheetName val="BID"/>
      <sheetName val="식재품셈"/>
      <sheetName val="원가1"/>
      <sheetName val="원가2"/>
      <sheetName val="TYPE-1"/>
      <sheetName val="그룹자료"/>
      <sheetName val="임율자료"/>
      <sheetName val="구조물공"/>
      <sheetName val="토공"/>
      <sheetName val="포장공"/>
      <sheetName val="表21_净利润夐#奜#"/>
      <sheetName val="000000"/>
      <sheetName val="현용"/>
      <sheetName val="목록!"/>
      <sheetName val="마스터0919"/>
      <sheetName val="고정자산-회사제시"/>
      <sheetName val="13.포장용역비표준"/>
      <sheetName val="9.가공부자재표준"/>
      <sheetName val="8.ROLL표준(TSW)"/>
      <sheetName val="4.톤당조관량표준"/>
      <sheetName val="5.조관부자재표준"/>
      <sheetName val="공시용CF"/>
      <sheetName val="표시트"/>
      <sheetName val="KEY CODE"/>
      <sheetName val="カテゴリ表"/>
      <sheetName val="T6-6(7)"/>
      <sheetName val="부대시행1_(2)"/>
      <sheetName val="근거_및_가정"/>
      <sheetName val="1_차입금"/>
      <sheetName val="Utility_Usage_YTN_TOWER"/>
      <sheetName val="B-1_기본정보"/>
      <sheetName val="?"/>
      <sheetName val="PAD_TR보호대기초"/>
      <sheetName val="설문_평가"/>
      <sheetName val="_견적서"/>
      <sheetName val="2-1.강사료,교통비 지급명세"/>
      <sheetName val="Bonuses"/>
      <sheetName val="HQ 급여 "/>
      <sheetName val="OF 급여"/>
      <sheetName val="F.Ma급여"/>
      <sheetName val="SMT 급여"/>
      <sheetName val="QC 급여"/>
      <sheetName val="Sam sung 급여"/>
      <sheetName val="Dlock 급여"/>
      <sheetName val=" thôi việc 급여"/>
      <sheetName val="Công smt"/>
      <sheetName val="Công smt (2)"/>
      <sheetName val="Detail smt"/>
      <sheetName val="Công QC"/>
      <sheetName val="Detail QC "/>
      <sheetName val="Công SS"/>
      <sheetName val="Detail SS"/>
      <sheetName val="Công FMa"/>
      <sheetName val="Detail FMa"/>
      <sheetName val="Công OF"/>
      <sheetName val="Detail OF"/>
      <sheetName val="Công Dlock"/>
      <sheetName val="Detail Dlock"/>
      <sheetName val="Công thôi việc"/>
      <sheetName val="Detail thôi"/>
      <sheetName val="EPOXY"/>
      <sheetName val="카드채권(대출포함)"/>
      <sheetName val="공통"/>
      <sheetName val="MAT"/>
      <sheetName val="U_TYPE_1_"/>
      <sheetName val="C1.3.1"/>
      <sheetName val="부대공Ⅱ"/>
      <sheetName val="입찰내역 Ĉ_x0000__x0000_ᇆ"/>
      <sheetName val="입찰내역 Ĉ_x0000__x0000_ᇆ"/>
      <sheetName val="정보화기기매출"/>
      <sheetName val="compare2"/>
      <sheetName val="Krw"/>
      <sheetName val="BS"/>
      <sheetName val="소야공정계획표"/>
      <sheetName val="실행기성 갑지"/>
      <sheetName val="Eq. Mobilization"/>
      <sheetName val="견적"/>
      <sheetName val="기계경비"/>
      <sheetName val="종단계산"/>
      <sheetName val="산출근거(S4)"/>
      <sheetName val="설치자재"/>
      <sheetName val="2007전체투자세액공제_2008년처분"/>
      <sheetName val="득점현황"/>
      <sheetName val="현장"/>
      <sheetName val="MH_생산"/>
      <sheetName val="구분List"/>
      <sheetName val="10월_vs_12월_채권잔액"/>
      <sheetName val="表21_净利润墨-닑⿕"/>
      <sheetName val="Index"/>
      <sheetName val="pg15"/>
      <sheetName val="1. 작성방식"/>
      <sheetName val="표)CFT장 조직별 배분"/>
      <sheetName val="기술분류체계"/>
      <sheetName val="Remark"/>
      <sheetName val="20180214 P&amp;T"/>
      <sheetName val="Ref. 중점 추진 과제별 상세"/>
      <sheetName val="작성요령"/>
      <sheetName val="2.6 三无 (2)"/>
      <sheetName val="_x0018__"/>
      <sheetName val="노임단가(공사)"/>
      <sheetName val="수량산출서 갑지"/>
      <sheetName val="기초견적가"/>
      <sheetName val="TANK"/>
      <sheetName val="조건표"/>
      <sheetName val="결과조달"/>
      <sheetName val="견적대비표"/>
      <sheetName val="포장복구집계"/>
      <sheetName val="간선계산"/>
      <sheetName val="AS복구"/>
      <sheetName val="2000년1차"/>
      <sheetName val="데이타"/>
      <sheetName val="ITEM"/>
      <sheetName val="일반공사"/>
      <sheetName val="터널조도"/>
      <sheetName val="중기터파기"/>
      <sheetName val="G.R300경비"/>
      <sheetName val="계수시트"/>
      <sheetName val="투찰"/>
      <sheetName val="AS포장복구 "/>
      <sheetName val="시설물일위"/>
      <sheetName val="가설공사"/>
      <sheetName val="수목데이타"/>
      <sheetName val="단가조사"/>
      <sheetName val="식재"/>
      <sheetName val="99노임기준"/>
      <sheetName val="변수값"/>
      <sheetName val="청천내"/>
      <sheetName val="요율"/>
      <sheetName val="2공구하도급내역서"/>
      <sheetName val="시설물"/>
      <sheetName val="연결임시"/>
      <sheetName val="부대tu"/>
      <sheetName val="9509"/>
      <sheetName val="투찰추정"/>
      <sheetName val="하부철근수량"/>
      <sheetName val="식재출력용"/>
      <sheetName val="가로등내역서"/>
      <sheetName val="저"/>
      <sheetName val="Baby일위대가"/>
      <sheetName val="실행대비"/>
      <sheetName val="지급자재"/>
      <sheetName val="노무비단가"/>
      <sheetName val="관리,공감"/>
      <sheetName val="식재인부"/>
      <sheetName val="입찰"/>
      <sheetName val="산출내역서"/>
      <sheetName val="4차원가계산서"/>
      <sheetName val="중기상차"/>
      <sheetName val="단가결정"/>
      <sheetName val="유지관리"/>
      <sheetName val="내역아"/>
      <sheetName val="여과지동"/>
      <sheetName val="울타리"/>
      <sheetName val="자재대"/>
      <sheetName val="조명율표"/>
      <sheetName val="원가"/>
      <sheetName val="공정코드"/>
      <sheetName val="총괄-1"/>
      <sheetName val="도급"/>
      <sheetName val="설 계"/>
      <sheetName val="현경"/>
      <sheetName val="단가대비표"/>
      <sheetName val="배수내역"/>
      <sheetName val="설계조건"/>
      <sheetName val="터널전기"/>
      <sheetName val="제-노임"/>
      <sheetName val="N賃率-職"/>
      <sheetName val="토목주소"/>
      <sheetName val="프랜트면허"/>
      <sheetName val="최적단면"/>
      <sheetName val="I一般比"/>
      <sheetName val="RES"/>
      <sheetName val="Desal-E&amp;I"/>
      <sheetName val="数据有效性"/>
      <sheetName val="Worker List"/>
      <sheetName val="GB-IC Villingen GG"/>
      <sheetName val="MC&amp;다변화"/>
      <sheetName val="Library"/>
      <sheetName val="Month-Report"/>
      <sheetName val="10매출"/>
      <sheetName val="6월 공嚺㓶가"/>
      <sheetName val="단기차입금(200006)"/>
      <sheetName val="공사비_NDE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현장경비"/>
      <sheetName val="세금자료"/>
      <sheetName val="코드관리"/>
      <sheetName val="Exchange rate"/>
      <sheetName val="작성양식"/>
      <sheetName val="有型区分分类"/>
      <sheetName val="업무 분류(Category)"/>
      <sheetName val="月度設定"/>
      <sheetName val="Facility_Information1"/>
      <sheetName val="설산1_나"/>
      <sheetName val="3_6_2남양주택배"/>
      <sheetName val="1월_예산"/>
      <sheetName val="외주현황_wq1"/>
      <sheetName val="1__시공측량"/>
      <sheetName val="납부내역총괄표_(수정)"/>
      <sheetName val="#1)_투자_구분"/>
      <sheetName val="수종별수량_(2)"/>
      <sheetName val="전선_및_전선관"/>
      <sheetName val="STANDARD"/>
      <sheetName val="유효성검사"/>
      <sheetName val="7상품수"/>
      <sheetName val="98수문일위"/>
      <sheetName val="준검 내역서"/>
      <sheetName val="을-ATYPE"/>
      <sheetName val="분석가정"/>
      <sheetName val="배열수식"/>
      <sheetName val="날개수량1.5"/>
      <sheetName val="sum_x0008__x0000__x000d__x0000__x0006__x0000_"/>
      <sheetName val="Ѐ܀ऀ܀؀਀؀Ԁ̀Ѐ̀Ѐࠀ܀ఀ؀܀"/>
      <sheetName val="숨김"/>
      <sheetName val="1월~9월"/>
      <sheetName val="기계"/>
      <sheetName val="정화조"/>
      <sheetName val="토목"/>
      <sheetName val="F 월별기성수금현황 "/>
      <sheetName val="계좌정보"/>
      <sheetName val="기초정보 코드"/>
      <sheetName val="대전-교대(A1-A2)"/>
      <sheetName val="CAT_5"/>
      <sheetName val="P_M_별2"/>
      <sheetName val="2_주요계수총괄1"/>
      <sheetName val="1_본사계정별1"/>
      <sheetName val="118_세금과공과1"/>
      <sheetName val="Project_Brief1"/>
      <sheetName val="Back_Data_11"/>
      <sheetName val="단면_(2)1"/>
      <sheetName val="해외_기술훈련비_(합계)1"/>
      <sheetName val="Weekly_Progress(계장)"/>
      <sheetName val="KEY_CODE"/>
      <sheetName val="2013_2월_연결대상"/>
      <sheetName val="2-1_강사료,교통비_지급명세"/>
      <sheetName val="13_포장용역비표준"/>
      <sheetName val="9_가공부자재표준"/>
      <sheetName val="8_ROLL표준(TSW)"/>
      <sheetName val="4_톤당조관량표준"/>
      <sheetName val="5_조관부자재표준"/>
      <sheetName val="실행기성_갑지"/>
      <sheetName val="FitOutConfCentre"/>
      <sheetName val="MTP"/>
      <sheetName val="수목단가"/>
      <sheetName val="시설수량표"/>
      <sheetName val="식재수량표"/>
      <sheetName val="수정양식"/>
      <sheetName val="#1 Basic"/>
      <sheetName val="만기"/>
      <sheetName val="월별비교(물리)"/>
      <sheetName val="EP0618"/>
      <sheetName val="첨부#2.Cash Flow(현장작성)"/>
      <sheetName val="3.일반사상"/>
      <sheetName val="선택지"/>
      <sheetName val="Congfig"/>
      <sheetName val="Bank code"/>
      <sheetName val="총수율"/>
      <sheetName val="11"/>
      <sheetName val="Drop-down RAW"/>
      <sheetName val="CODE生成机"/>
      <sheetName val="조직필터"/>
      <sheetName val="산자사 운전용품"/>
      <sheetName val="슬래_xd800_"/>
      <sheetName val="MEMO"/>
      <sheetName val="민감도분석"/>
      <sheetName val="LOG"/>
      <sheetName val="보고서 표"/>
      <sheetName val="0. 가정 및 결론"/>
      <sheetName val="1. 투자비"/>
      <sheetName val="2. Rent-roll"/>
      <sheetName val="3. Funding"/>
      <sheetName val="4. 운영수익"/>
      <sheetName val="5. 운영비용"/>
      <sheetName val="6.1 N+1년차 NOI 산정"/>
      <sheetName val="6. 부동산매각"/>
      <sheetName val="7. 보유세"/>
      <sheetName val="8. 교통유발부담금"/>
      <sheetName val="9. BS부속"/>
      <sheetName val="10. CF(M)"/>
      <sheetName val="11. IS(M)"/>
      <sheetName val="12. BS(M)"/>
      <sheetName val="14. IS(FY)"/>
      <sheetName val="13. CF(FY)"/>
      <sheetName val="15. BS(FY)"/>
      <sheetName val="16. RE(FY)"/>
      <sheetName val="4.1 월별 에너지 사용량"/>
      <sheetName val="오류항목"/>
      <sheetName val="조도계산서 (도서)"/>
      <sheetName val="안산기계장치"/>
      <sheetName val="A(Rev.3)"/>
      <sheetName val="호남본"/>
      <sheetName val="갑지"/>
      <sheetName val="hiddenSheet"/>
      <sheetName val="640ꠌ᜹렀㣃씃"/>
      <sheetName val="640ꠏ᜹쀀씃"/>
      <sheetName val="STRAT PLAN WKSHT"/>
      <sheetName val="Sales Plan &amp; other"/>
      <sheetName val="ConsolidateUSD"/>
      <sheetName val="STRAT_PLAN_WKSHT"/>
      <sheetName val="Sales_Plan_&amp;_other"/>
      <sheetName val="ref"/>
      <sheetName val="drop downs"/>
      <sheetName val="Basic Information"/>
      <sheetName val="드롭다운"/>
      <sheetName val="7300-1000.11"/>
      <sheetName val="7300-1000_11"/>
      <sheetName val="기준Data"/>
      <sheetName val="PJT 현황"/>
      <sheetName val="euc"/>
      <sheetName val="데이터유효성목록"/>
      <sheetName val="필요면적"/>
      <sheetName val="중기일위대가"/>
      <sheetName val="특수선일위대가"/>
      <sheetName val="전기자료"/>
      <sheetName val="Sheet10"/>
      <sheetName val="진행 DATA (2)"/>
      <sheetName val="_x005f_x005f_x005f_x0000__x005f_x005f_x005f_x0000_"/>
      <sheetName val="Cntmrs"/>
      <sheetName val="_x005f_x005f_x005f_x0000__x005f"/>
      <sheetName val="소주(苏州)"/>
      <sheetName val="VNHA"/>
      <sheetName val="대차대조표-공시형"/>
      <sheetName val="참고) 기준정보"/>
      <sheetName val="포지셔닝(유형별)"/>
      <sheetName val="채권(하반기)"/>
      <sheetName val="금액"/>
      <sheetName val="제품"/>
      <sheetName val="분류표"/>
      <sheetName val="Long Term Prices"/>
      <sheetName val="생산량"/>
      <sheetName val="BK_PPA"/>
      <sheetName val="Assign"/>
      <sheetName val="합잔_역사"/>
      <sheetName val="01현금및현금성자산(ok)"/>
      <sheetName val="상불"/>
      <sheetName val="구분 Table"/>
      <sheetName val="역T형옹벽(3.0)"/>
      <sheetName val="한계원가"/>
      <sheetName val="받을어음"/>
      <sheetName val="외상매출금현황-수정분 A2"/>
      <sheetName val="기준재고"/>
      <sheetName val="수액원료4"/>
      <sheetName val="손익계산서"/>
      <sheetName val="네고14"/>
      <sheetName val="PF 현황(11년12월)"/>
      <sheetName val="관리1"/>
      <sheetName val="Tipo Viaje"/>
      <sheetName val="Flota y Personal"/>
      <sheetName val="Explicacion"/>
      <sheetName val="COE Scope - Strategic Projects"/>
      <sheetName val="PARTICIPACION"/>
      <sheetName val="SEGUIMIENTO SEMANAL"/>
      <sheetName val="Lista AI"/>
      <sheetName val="Nomenclatura"/>
      <sheetName val="TO TTZ"/>
      <sheetName val="CATÁLOGO DE PELIGROS"/>
      <sheetName val="OPCIONES"/>
      <sheetName val="_손익기01.XL__DePara"/>
      <sheetName val="_손익기01_XL__DePara"/>
      <sheetName val="____"/>
      <sheetName val="_손익기01_XL__DePara1"/>
      <sheetName val="_손익기01_XL__DePara2"/>
      <sheetName val="_손익기01_XL__DePara3"/>
      <sheetName val="_손익기01_XL__DePara4"/>
      <sheetName val="_손익기01_XL__DePara5"/>
      <sheetName val="_손익기01_XL__DePara6"/>
      <sheetName val="_손익기01_XL__DePara7"/>
      <sheetName val="_손익기01_XL__DePara8"/>
      <sheetName val="리스트용"/>
      <sheetName val="입찰내역 Ĉ"/>
      <sheetName val="sum_x0008_"/>
      <sheetName val="列表"/>
      <sheetName val="match list"/>
      <sheetName val="2017"/>
      <sheetName val="2018"/>
      <sheetName val="2019"/>
      <sheetName val="Sum"/>
      <sheetName val="Q4 2018"/>
      <sheetName val="Q4 2019"/>
      <sheetName val="Q4 Sum"/>
      <sheetName val="2020"/>
      <sheetName val="2020 KPI LE0"/>
      <sheetName val="."/>
      <sheetName val="TO_Data_Base23"/>
      <sheetName val="YTD_Summary22"/>
      <sheetName val="Month_Summary22"/>
      <sheetName val="Trial_Balance_MAY_200922"/>
      <sheetName val="TB_Pivot22"/>
      <sheetName val="total_per_LB_LB222"/>
      <sheetName val="Trial_Balance_Vlookup22"/>
      <sheetName val="Trial_Balance_APRIL_200922"/>
      <sheetName val="Roll_Out_AQ22"/>
      <sheetName val="Evolução_mandamentos22"/>
      <sheetName val="Planilha_resultados21"/>
      <sheetName val="Historico_200321"/>
      <sheetName val="Sig_Cycles_Accts_&amp;_Processes21"/>
      <sheetName val="Fixed_ZBB15"/>
      <sheetName val="E_法规NC15"/>
      <sheetName val="3_ISo_YTD15"/>
      <sheetName val="Données_LMU15"/>
      <sheetName val="Brazil_Sovereign15"/>
      <sheetName val="Resumen_Costo15"/>
      <sheetName val="Base_de_Dados15"/>
      <sheetName val="Extract_Loss15"/>
      <sheetName val="5_115"/>
      <sheetName val="QA_跟踪记录表15"/>
      <sheetName val="RG_Depots15"/>
      <sheetName val="material_data15"/>
      <sheetName val="other_data15"/>
      <sheetName val="Como_Estamos15"/>
      <sheetName val="Database_(RUR)Mar_YTD15"/>
      <sheetName val="SKU_Mapping15"/>
      <sheetName val="Drop_Down15"/>
      <sheetName val="Raw_Data15"/>
      <sheetName val="EBM-2_GHQ15"/>
      <sheetName val="Base_PEF16"/>
      <sheetName val="Controls_data17"/>
      <sheetName val="Testing_Template_Guidance15"/>
      <sheetName val="Test_Programs15"/>
      <sheetName val="[손익기01_XLDePara11"/>
      <sheetName val="Dados_BLP15"/>
      <sheetName val="FJJX_Bud_IB14"/>
      <sheetName val="JOB_PROFILE_-_LAS15"/>
      <sheetName val="ARdistr_(2)15"/>
      <sheetName val="look-up_data14"/>
      <sheetName val="Prd_Hierarchy(产品层级)14"/>
      <sheetName val="Com_(2PK)14"/>
      <sheetName val="Project_Code14"/>
      <sheetName val="요일_테이블15"/>
      <sheetName val="요일_테이블_(2)14"/>
      <sheetName val="Prd_Hierarchy(产品层次)14"/>
      <sheetName val="전사_PL16"/>
      <sheetName val="자금_제외_PL16"/>
      <sheetName val="자금_PL16"/>
      <sheetName val="전사_BS16"/>
      <sheetName val="자금_제외_BS16"/>
      <sheetName val="자금_BS16"/>
      <sheetName val="BS_계정_설명16"/>
      <sheetName val="_Cash_Flow(전사)16"/>
      <sheetName val="_Cash_Flow(자금제외)16"/>
      <sheetName val="_Cash_Flow(자금)16"/>
      <sheetName val="ROIC_16"/>
      <sheetName val="인건비_명세16"/>
      <sheetName val="판관비_명세16"/>
      <sheetName val="OH_Cost경비(내역)16"/>
      <sheetName val="OH_Cost경비(배부기준)16"/>
      <sheetName val="기타수지&amp;특별손익_명세16"/>
      <sheetName val="업무연락_(2)15"/>
      <sheetName val="제시_손익계산서15"/>
      <sheetName val="01_02월_성과급16"/>
      <sheetName val="M_7회차_담금_계획15"/>
      <sheetName val="팀별_실적15"/>
      <sheetName val="팀별_실적_(환산)15"/>
      <sheetName val="4__Inj_투자상세내역15"/>
      <sheetName val="3__Blow_투자_상세내역15"/>
      <sheetName val="Process_List15"/>
      <sheetName val="7_(2)15"/>
      <sheetName val="_손익기01_XL14"/>
      <sheetName val="Income_Stmt14"/>
      <sheetName val="drop_down_list14"/>
      <sheetName val="[손익기01_XL_x005f_x0000__x005f_x0000_DePara14"/>
      <sheetName val="[손익기01_XL14"/>
      <sheetName val="Quarterly_LBO_Model14"/>
      <sheetName val="Figures_Report13"/>
      <sheetName val="_손익기01_XL_x005f_x0000__x005f_x0000_DePara14"/>
      <sheetName val="Set_Up14"/>
      <sheetName val="15년_BL_사계14"/>
      <sheetName val="1_종합손익(도급)14"/>
      <sheetName val="1_종합손익(주택,개발)14"/>
      <sheetName val="2_실행예산14"/>
      <sheetName val="2_2과부족14"/>
      <sheetName val="2_3원가절감14"/>
      <sheetName val="8_외주비집행현황14"/>
      <sheetName val="9_자재비14"/>
      <sheetName val="10_현장집행14"/>
      <sheetName val="3_추가원가14"/>
      <sheetName val="3_추가원가_(2)14"/>
      <sheetName val="4_사전공사14"/>
      <sheetName val="5_추정공사비14"/>
      <sheetName val="6_금융비용14"/>
      <sheetName val="7_공사비집행현황(총괄)14"/>
      <sheetName val="11_1생산성14"/>
      <sheetName val="11_2인원산출14"/>
      <sheetName val="Classification_分类13"/>
      <sheetName val="Fare_prices13"/>
      <sheetName val="Hotel_prices13"/>
      <sheetName val="tab_STATUS_DO_PROCESSO_13"/>
      <sheetName val="Perf__Plan__Diário113"/>
      <sheetName val="In_(2)13"/>
      <sheetName val="__한국_AMP_ASP-23_판매가격__13"/>
      <sheetName val="CC_Down_load_071613"/>
      <sheetName val="변경실행(2차)_13"/>
      <sheetName val="나_출고13"/>
      <sheetName val="나_입고13"/>
      <sheetName val="09년_인건비(속리산)13"/>
      <sheetName val="합산목표(감가+57_5)13"/>
      <sheetName val="제조원가_원단위_분석13"/>
      <sheetName val="종합표양식(품의_&amp;_입고)_213"/>
      <sheetName val="원가관리_(동월대비)13"/>
      <sheetName val="b_balju_(2)13"/>
      <sheetName val="2-2_매출분석13"/>
      <sheetName val="몰드시스템_리스트13"/>
      <sheetName val="11_외화채무증권(AFS,HTM)0813"/>
      <sheetName val="13_감액TEST_0813"/>
      <sheetName val="12년_CF(9월)13"/>
      <sheetName val="중기조종사_단위단가13"/>
      <sheetName val="6PILE__(돌출)13"/>
      <sheetName val="기성청구_공문13"/>
      <sheetName val="Sheet1_(2)13"/>
      <sheetName val="CLASIFICACION_DE_AI13"/>
      <sheetName val="Base_da_Datos13"/>
      <sheetName val="slide_24_cat_A13"/>
      <sheetName val="slide_82_cat_b13"/>
      <sheetName val="Dados_dos_Produtos13"/>
      <sheetName val="Base_de_Datos12"/>
      <sheetName val="09~10년_매출계획13"/>
      <sheetName val="1_MDF1공장13"/>
      <sheetName val="Incident_유형구분표13"/>
      <sheetName val="3YP2016-Bottom_up12"/>
      <sheetName val="DD_list13"/>
      <sheetName val="Supply_Cost_Centers12"/>
      <sheetName val="_손익기01_XLDePara11"/>
      <sheetName val="2_카드채권(대출포함)12"/>
      <sheetName val="表21_净利润调节表12"/>
      <sheetName val="Cond__Inseguros12"/>
      <sheetName val="Comp__Inseguros12"/>
      <sheetName val="Lista_de_datos12"/>
      <sheetName val="MASTER_APP12"/>
      <sheetName val="Clasif_12"/>
      <sheetName val="Farol_Acciones12"/>
      <sheetName val="Lista_de_Entrenamientos12"/>
      <sheetName val="Unidades_SAC-REVENDA13"/>
      <sheetName val="FornecM_Check11"/>
      <sheetName val="Lista_CI12"/>
      <sheetName val="Estratificación_AI11"/>
      <sheetName val="condicion_inseguras11"/>
      <sheetName val="Actos_Inseguros11"/>
      <sheetName val="Control_de_incidentes11"/>
      <sheetName val="Plan_de_Acción11"/>
      <sheetName val="_DD_List12"/>
      <sheetName val="Share_Price_200212"/>
      <sheetName val="Issues_List_Payments11"/>
      <sheetName val="BEP_加薪_KPI11"/>
      <sheetName val="Faro_de_Indicadores11"/>
      <sheetName val="TOP_KPIs_MTM11"/>
      <sheetName val="PLAN_DE_ACCION11"/>
      <sheetName val="Grafica_Actos11"/>
      <sheetName val="POC_LIST11"/>
      <sheetName val="Dashboard_Prevención_Riesgos_11"/>
      <sheetName val="do_not_delete11"/>
      <sheetName val="APAC_S11"/>
      <sheetName val="APAC_N11"/>
      <sheetName val="Slide_output11"/>
      <sheetName val="[손익기01_XL??DePara11"/>
      <sheetName val="Farol_Metas11"/>
      <sheetName val="Mod_Relac_11"/>
      <sheetName val="Condiciones_SyE11"/>
      <sheetName val="REALxMETA_-_CERVEJA13"/>
      <sheetName val="REALxMETA_-_REFRI13"/>
      <sheetName val="Directrices_de_Metas_201711"/>
      <sheetName val="Data_validation11"/>
      <sheetName val="_손익기01_XL_x005f_x005f_x005f_x0000__x005f_x005f_11"/>
      <sheetName val="Hazards_Analysis-隐患分析11"/>
      <sheetName val="F08_-_Asia_Pac_Full_Year_Q312"/>
      <sheetName val="Top_Priorities12"/>
      <sheetName val="Listco_Stock12"/>
      <sheetName val="Intl_Purchase12"/>
      <sheetName val="FY_outlook12"/>
      <sheetName val="CY_outlook12"/>
      <sheetName val="Cash_metrics12"/>
      <sheetName val="P6_712"/>
      <sheetName val="DATOS_BASE11"/>
      <sheetName val="97_사업추정(WEKI)11"/>
      <sheetName val="Tong_hop11"/>
      <sheetName val="95_1_1이후취득자산(숨기기상태)11"/>
      <sheetName val="sum1_(2)11"/>
      <sheetName val="3_바닥판설계11"/>
      <sheetName val="6월_공정외주11"/>
      <sheetName val="2_대외공문11"/>
      <sheetName val="2_총괄표11"/>
      <sheetName val="입출재고현황_(2)11"/>
      <sheetName val="504전기실_동부하-L11"/>
      <sheetName val="OUTER_AREA(겹침없음)11"/>
      <sheetName val="EL_표면적11"/>
      <sheetName val="TRE_TABLE11"/>
      <sheetName val="입찰내역_발주처_양식11"/>
      <sheetName val="turnover_reason퇴직사유11"/>
      <sheetName val="SKU_Basic_Data11"/>
      <sheetName val="Entity_Target11"/>
      <sheetName val="Check_Qualidade9"/>
      <sheetName val="De_Para10"/>
      <sheetName val="DETALLE_MENSUAL11"/>
      <sheetName val="Check_Aderencia9"/>
      <sheetName val="Drop-down_List10"/>
      <sheetName val="by_DD10"/>
      <sheetName val="VALIDACION_DE_DATOS10"/>
      <sheetName val="Jul-Sep_Actual_cost_(2)10"/>
      <sheetName val="Gerencial_IL9"/>
      <sheetName val="Base_Farol9"/>
      <sheetName val="ACTOS_POR_RIESGO9"/>
      <sheetName val="Nombre_de_SOP9"/>
      <sheetName val="drop_lists9"/>
      <sheetName val="Ventas_Campo9"/>
      <sheetName val="MRL_NON_SUPPLY_URU9"/>
      <sheetName val="AIIM_-_Empresas_Ext_20129"/>
      <sheetName val="KPIs_Hana9"/>
      <sheetName val="Catalago_de_refacciones_9"/>
      <sheetName val="Existencias_al_07-Nov-20129"/>
      <sheetName val="Check_GG9"/>
      <sheetName val="2__Indicadores9"/>
      <sheetName val="Ta_9"/>
      <sheetName val="부재료_비교(11년_vs_10년)9"/>
      <sheetName val="_손익기01_XL_x005f_x0000__x09"/>
      <sheetName val="Lista_de_Entrenamientos_RSO9"/>
      <sheetName val="Tablero_SDG12"/>
      <sheetName val="Lista_Areas12"/>
      <sheetName val="One_Page12"/>
      <sheetName val="Sub-Productos_HN10"/>
      <sheetName val="Eficiencia_linea9"/>
      <sheetName val="Sheet3_(2)9"/>
      <sheetName val="Lao_&amp;_Cam9"/>
      <sheetName val="Hoegaarden_20199"/>
      <sheetName val="Lao_&amp;_Cam_20199"/>
      <sheetName val="Malaysia_20199"/>
      <sheetName val="Singapore_20199"/>
      <sheetName val="Sheet2_(2)9"/>
      <sheetName val="_mngt_Pillar9"/>
      <sheetName val="요일_테이블_9"/>
      <sheetName val="Other_Listings9"/>
      <sheetName val="Pauta_RPS_Distribuição8"/>
      <sheetName val="Estoque_(2)8"/>
      <sheetName val="_손익기01_XL_x06"/>
      <sheetName val="Comp_Inseguros8"/>
      <sheetName val="BNR_2012_в_ящике8"/>
      <sheetName val="DO_NOT_MOVE8"/>
      <sheetName val="DATOS_DE_VALIDACIÓN8"/>
      <sheetName val="Datos_con8"/>
      <sheetName val="_Datos_Cond_8"/>
      <sheetName val="INGRESO_(2)8"/>
      <sheetName val="PG-K1610_(UEN_Areas)MNG8"/>
      <sheetName val="DATOS_GEN_8"/>
      <sheetName val="NUEVOS_CRITERIOS8"/>
      <sheetName val="Condiciones_Agua8"/>
      <sheetName val="Dropdown_list7"/>
      <sheetName val="Drop_list7"/>
      <sheetName val="FX_Rates7"/>
      <sheetName val="__한국_AMP_ASP-23_판㧤가격__7"/>
      <sheetName val="11_䡸화채무줝ⴌ(AFS,HTM)087"/>
      <sheetName val="Proced_7"/>
      <sheetName val="Cut_Machine_Summary7"/>
      <sheetName val="Vagas_x_Candidatos7"/>
      <sheetName val="Control_de_Fallas7"/>
      <sheetName val="Setup_for_Templates7"/>
      <sheetName val="Datos_emp7"/>
      <sheetName val="Validation_lists7"/>
      <sheetName val="TIPO_DE_ACTO7"/>
      <sheetName val="CRITICIDAD_DE_CI7"/>
      <sheetName val="Catálogo_de_CI7"/>
      <sheetName val="%_CUMPLIMIENTO7"/>
      <sheetName val="%_cumplimiento_7"/>
      <sheetName val="CALIFICACIONES_20195"/>
      <sheetName val="Lev_4_360_deg_check_Crit_Task5"/>
      <sheetName val="Lev_4_Chk_IC_Stock_Crit_Task5"/>
      <sheetName val="Lev_4_WMS_Putaway_Crit_Task5"/>
      <sheetName val="Análise_Tempos4"/>
      <sheetName val="Listas_y_equipos_a_evaluar7"/>
      <sheetName val="Data_Reporte7"/>
      <sheetName val="Read_me7"/>
      <sheetName val="Daily_Dashboard7"/>
      <sheetName val="Champions_List6"/>
      <sheetName val="NAZ_Strategy5"/>
      <sheetName val="Mapeo_SKUs7"/>
      <sheetName val="Vol_(Ds)7"/>
      <sheetName val="Vol_(Ka)7"/>
      <sheetName val="Vol_(Oth)7"/>
      <sheetName val="Vol_(Oth)_Cortesias7"/>
      <sheetName val="INPUT-Cust_Sugg_Margin(Ds)7"/>
      <sheetName val="On_Invoice7"/>
      <sheetName val="INPUT-Cust_Sugg_Margin(Ka)7"/>
      <sheetName val="INPUT_SKUs7"/>
      <sheetName val="Brand_P&amp;L5"/>
      <sheetName val="SUPERMONT_P5"/>
      <sheetName val="Data_selection5"/>
      <sheetName val="1_5"/>
      <sheetName val="Customer_&amp;_SO5"/>
      <sheetName val="Session_Proposal5"/>
      <sheetName val="Validação_de_Dados4"/>
      <sheetName val="No_llenar_4"/>
      <sheetName val="PDA_BOP4"/>
      <sheetName val="Incentivo_Automóvil4"/>
      <sheetName val="Project_List3"/>
      <sheetName val="Dropdown_Menu3"/>
      <sheetName val="SOP_Freshness2"/>
      <sheetName val="Lista_de_Motivos4"/>
      <sheetName val="Ponto_Crítico_-_Resp__Plano4"/>
      <sheetName val="Lista_Funcionários_(2)4"/>
      <sheetName val="유류대_현황2"/>
      <sheetName val="Выпадающие_списки3"/>
      <sheetName val="2_3_Projects_Status2"/>
      <sheetName val="mapping_(2)2"/>
      <sheetName val="Ref_2"/>
      <sheetName val="PROCESS_MD4"/>
      <sheetName val="Listas_desplegables2"/>
      <sheetName val="Resumen_General2"/>
      <sheetName val="Cátalogo_de_CI2"/>
      <sheetName val="Hoja2_(2)2"/>
      <sheetName val="Technology_check_list2"/>
      <sheetName val="Status_de_Usuario2"/>
      <sheetName val="Actos_y_Condiciones_2"/>
      <sheetName val="NO_BORRAR2"/>
      <sheetName val="Formato_checklist_Lab2"/>
      <sheetName val="1__템플릿2"/>
      <sheetName val="2__작성_참고사항2"/>
      <sheetName val="Master_Data2"/>
      <sheetName val="Consolidated_Project_List2"/>
      <sheetName val="Fixed_Cost2"/>
      <sheetName val="PAINEL_RECOLHA_CRÉDITO4"/>
      <sheetName val="Gráficos_-_CDD4"/>
      <sheetName val="Dimension_IN_Sheet1!D19122"/>
      <sheetName val="Dimension_IN_19122"/>
      <sheetName val="3__Training_&amp;_travel1"/>
      <sheetName val="Manage_to_Sustain1"/>
      <sheetName val="Packages_Info1"/>
      <sheetName val="Meeting_List1"/>
      <sheetName val="Razão_Social1"/>
      <sheetName val="KPIs-_TTP,_PTP,_People_Turnove1"/>
      <sheetName val="2020_MMR121"/>
      <sheetName val="입문_트랜드(종합분석)1"/>
      <sheetName val="Master_CE1"/>
      <sheetName val="CE_Final_1"/>
      <sheetName val="OL_LIST1"/>
      <sheetName val="YTD_GUEST_LIST1"/>
      <sheetName val="Session_Full_list1"/>
      <sheetName val="FOOD_PAYMENT_update_JAN1"/>
      <sheetName val="Rate_card_F19_1"/>
      <sheetName val="Master_Plan__(update)1"/>
      <sheetName val="The_KPI_1"/>
      <sheetName val="Mentor_Plan_1"/>
      <sheetName val="Master_Plan_1"/>
      <sheetName val="Tier_1_GOV_PC_Networking_1"/>
      <sheetName val="Tier_1_LBO_1"/>
      <sheetName val="Preferred_Option1"/>
      <sheetName val="FILIAL_MINAS1"/>
      <sheetName val="_손익기01_XL_x005f_x0000__x005f_x005f_x01"/>
      <sheetName val="info_for_drop_box1"/>
      <sheetName val="1월_목표1"/>
      <sheetName val="POCM_배송지1"/>
      <sheetName val="3__Training_&amp;_travel"/>
      <sheetName val="Razão_Social"/>
      <sheetName val="KPIs-_TTP,_PTP,_People_Turnover"/>
      <sheetName val="2020_MMR12"/>
      <sheetName val="입문_트랜드(종합분석)"/>
      <sheetName val="Master_CE"/>
      <sheetName val="CE_Final_"/>
      <sheetName val="OL_LIST"/>
      <sheetName val="YTD_GUEST_LIST"/>
      <sheetName val="Session_Full_list"/>
      <sheetName val="FOOD_PAYMENT_update_JAN"/>
      <sheetName val="Rate_card_F19_"/>
      <sheetName val="Master_Plan__(update)"/>
      <sheetName val="The_KPI_"/>
      <sheetName val="Mentor_Plan_"/>
      <sheetName val="Master_Plan_"/>
      <sheetName val="Tier_1_GOV_PC_Networking_"/>
      <sheetName val="Tier_1_LBO_"/>
      <sheetName val="Preferred_Option"/>
      <sheetName val="FILIAL_MINAS"/>
      <sheetName val="_손익기01_XL_x005f_x0000__x005f_x005f_x0"/>
      <sheetName val="info_for_drop_box"/>
      <sheetName val="1월_목표"/>
      <sheetName val="POCM_배송지"/>
      <sheetName val="YOY"/>
      <sheetName val="Rate data"/>
      <sheetName val="BUD"/>
      <sheetName val="Template HN"/>
      <sheetName val="Itens"/>
      <sheetName val="Acessorios"/>
      <sheetName val="ARGUS"/>
      <sheetName val="_x0000__x0005__x0000__x0000__x0000__x0000__x0000_"/>
      <sheetName val="RyNV detectados "/>
      <sheetName val="Curva 2021"/>
      <sheetName val="Fechas"/>
      <sheetName val="Eficiencias"/>
      <sheetName val="KPI's"/>
      <sheetName val="Por PPR"/>
      <sheetName val="Hoja6"/>
      <sheetName val="Por_PPR"/>
      <sheetName val="Resumen (hL env)"/>
      <sheetName val="vlook"/>
      <sheetName val="KPI need to input"/>
      <sheetName val="安全事件分类"/>
      <sheetName val="강남 CRM_11월"/>
      <sheetName val="CRITERIOS DE AI"/>
      <sheetName val="Áreas"/>
      <sheetName val="Nigeria &amp; Ghana"/>
      <sheetName val="Manual Database"/>
      <sheetName val="TO_Data_Base24"/>
      <sheetName val="YTD_Summary23"/>
      <sheetName val="Month_Summary23"/>
      <sheetName val="Trial_Balance_MAY_200923"/>
      <sheetName val="TB_Pivot23"/>
      <sheetName val="total_per_LB_LB223"/>
      <sheetName val="Trial_Balance_Vlookup23"/>
      <sheetName val="Trial_Balance_APRIL_200923"/>
      <sheetName val="Roll_Out_AQ23"/>
      <sheetName val="Evolução_mandamentos23"/>
      <sheetName val="Planilha_resultados22"/>
      <sheetName val="Historico_200322"/>
      <sheetName val="Sig_Cycles_Accts_&amp;_Processes22"/>
      <sheetName val="Fixed_ZBB16"/>
      <sheetName val="E_法规NC16"/>
      <sheetName val="3_ISo_YTD16"/>
      <sheetName val="Données_LMU16"/>
      <sheetName val="Brazil_Sovereign16"/>
      <sheetName val="Resumen_Costo16"/>
      <sheetName val="Extract_Loss16"/>
      <sheetName val="QA_跟踪记录表16"/>
      <sheetName val="5_116"/>
      <sheetName val="Base_de_Dados16"/>
      <sheetName val="Como_Estamos16"/>
      <sheetName val="Controls_data18"/>
      <sheetName val="RG_Depots16"/>
      <sheetName val="material_data16"/>
      <sheetName val="other_data16"/>
      <sheetName val="Database_(RUR)Mar_YTD16"/>
      <sheetName val="SKU_Mapping16"/>
      <sheetName val="Drop_Down16"/>
      <sheetName val="Raw_Data16"/>
      <sheetName val="EBM-2_GHQ16"/>
      <sheetName val="Base_PEF17"/>
      <sheetName val="Testing_Template_Guidance16"/>
      <sheetName val="Test_Programs16"/>
      <sheetName val="Dados_BLP16"/>
      <sheetName val="FJJX_Bud_IB15"/>
      <sheetName val="JOB_PROFILE_-_LAS16"/>
      <sheetName val="ARdistr_(2)16"/>
      <sheetName val="look-up_data15"/>
      <sheetName val="Prd_Hierarchy(产品层级)15"/>
      <sheetName val="Com_(2PK)15"/>
      <sheetName val="Project_Code15"/>
      <sheetName val="요일_테이블16"/>
      <sheetName val="요일_테이블_(2)15"/>
      <sheetName val="Prd_Hierarchy(产品层次)15"/>
      <sheetName val="전사_PL17"/>
      <sheetName val="자금_제외_PL17"/>
      <sheetName val="자금_PL17"/>
      <sheetName val="전사_BS17"/>
      <sheetName val="자금_제외_BS17"/>
      <sheetName val="자금_BS17"/>
      <sheetName val="BS_계정_설명17"/>
      <sheetName val="_Cash_Flow(전사)17"/>
      <sheetName val="_Cash_Flow(자금제외)17"/>
      <sheetName val="_Cash_Flow(자금)17"/>
      <sheetName val="ROIC_17"/>
      <sheetName val="인건비_명세17"/>
      <sheetName val="판관비_명세17"/>
      <sheetName val="OH_Cost경비(내역)17"/>
      <sheetName val="OH_Cost경비(배부기준)17"/>
      <sheetName val="기타수지&amp;특별손익_명세17"/>
      <sheetName val="업무연락_(2)16"/>
      <sheetName val="제시_손익계산서16"/>
      <sheetName val="01_02월_성과급17"/>
      <sheetName val="M_7회차_담금_계획16"/>
      <sheetName val="팀별_실적16"/>
      <sheetName val="팀별_실적_(환산)16"/>
      <sheetName val="4__Inj_투자상세내역16"/>
      <sheetName val="3__Blow_투자_상세내역16"/>
      <sheetName val="Process_List16"/>
      <sheetName val="7_(2)16"/>
      <sheetName val="_손익기01_XL15"/>
      <sheetName val="Income_Stmt15"/>
      <sheetName val="drop_down_list15"/>
      <sheetName val="[손익기01_XL_x005f_x0000__x005f_x0000_DePara15"/>
      <sheetName val="Quarterly_LBO_Model15"/>
      <sheetName val="Figures_Report14"/>
      <sheetName val="[손익기01_XL15"/>
      <sheetName val="_손익기01_XL_x005f_x0000__x005f_x0000_DePara15"/>
      <sheetName val="Fare_prices14"/>
      <sheetName val="Hotel_prices14"/>
      <sheetName val="Set_Up15"/>
      <sheetName val="15년_BL_사계15"/>
      <sheetName val="1_종합손익(도급)15"/>
      <sheetName val="1_종합손익(주택,개발)15"/>
      <sheetName val="2_실행예산15"/>
      <sheetName val="2_2과부족15"/>
      <sheetName val="2_3원가절감15"/>
      <sheetName val="8_외주비집행현황15"/>
      <sheetName val="9_자재비15"/>
      <sheetName val="10_현장집행15"/>
      <sheetName val="3_추가원가15"/>
      <sheetName val="3_추가원가_(2)15"/>
      <sheetName val="4_사전공사15"/>
      <sheetName val="5_추정공사비15"/>
      <sheetName val="6_금융비용15"/>
      <sheetName val="7_공사비집행현황(총괄)15"/>
      <sheetName val="11_1생산성15"/>
      <sheetName val="11_2인원산출15"/>
      <sheetName val="Classification_分类14"/>
      <sheetName val="tab_STATUS_DO_PROCESSO_14"/>
      <sheetName val="Perf__Plan__Diário114"/>
      <sheetName val="In_(2)14"/>
      <sheetName val="__한국_AMP_ASP-23_판매가격__14"/>
      <sheetName val="CC_Down_load_071614"/>
      <sheetName val="변경실행(2차)_14"/>
      <sheetName val="나_출고14"/>
      <sheetName val="나_입고14"/>
      <sheetName val="09년_인건비(속리산)14"/>
      <sheetName val="합산목표(감가+57_5)14"/>
      <sheetName val="제조원가_원단위_분석14"/>
      <sheetName val="종합표양식(품의_&amp;_입고)_214"/>
      <sheetName val="원가관리_(동월대비)14"/>
      <sheetName val="b_balju_(2)14"/>
      <sheetName val="2-2_매출분석14"/>
      <sheetName val="몰드시스템_리스트14"/>
      <sheetName val="11_외화채무증권(AFS,HTM)0814"/>
      <sheetName val="13_감액TEST_0814"/>
      <sheetName val="12년_CF(9월)14"/>
      <sheetName val="중기조종사_단위단가14"/>
      <sheetName val="6PILE__(돌출)14"/>
      <sheetName val="기성청구_공문14"/>
      <sheetName val="Sheet1_(2)14"/>
      <sheetName val="CLASIFICACION_DE_AI14"/>
      <sheetName val="Base_da_Datos14"/>
      <sheetName val="slide_24_cat_A14"/>
      <sheetName val="slide_82_cat_b14"/>
      <sheetName val="Dados_dos_Produtos14"/>
      <sheetName val="09~10년_매출계획14"/>
      <sheetName val="1_MDF1공장14"/>
      <sheetName val="Incident_유형구분표14"/>
      <sheetName val="3YP2016-Bottom_up13"/>
      <sheetName val="DD_list14"/>
      <sheetName val="Base_de_Datos13"/>
      <sheetName val="Clasif_13"/>
      <sheetName val="Supply_Cost_Centers13"/>
      <sheetName val="Cond__Inseguros13"/>
      <sheetName val="Comp__Inseguros13"/>
      <sheetName val="Lista_de_datos13"/>
      <sheetName val="MASTER_APP13"/>
      <sheetName val="2_카드채권(대출포함)13"/>
      <sheetName val="表21_净利润调节表13"/>
      <sheetName val="Lista_CI13"/>
      <sheetName val="Dashboard_Prevención_Riesgos_12"/>
      <sheetName val="TOP_KPIs_MTM12"/>
      <sheetName val="PLAN_DE_ACCION12"/>
      <sheetName val="Faro_de_Indicadores12"/>
      <sheetName val="Farol_Acciones13"/>
      <sheetName val="Lista_de_Entrenamientos13"/>
      <sheetName val="Unidades_SAC-REVENDA14"/>
      <sheetName val="FornecM_Check12"/>
      <sheetName val="Share_Price_200213"/>
      <sheetName val="_DD_List13"/>
      <sheetName val="BEP_加薪_KPI12"/>
      <sheetName val="Estratificación_AI12"/>
      <sheetName val="condicion_inseguras12"/>
      <sheetName val="Actos_Inseguros12"/>
      <sheetName val="Control_de_incidentes12"/>
      <sheetName val="Plan_de_Acción12"/>
      <sheetName val="Issues_List_Payments12"/>
      <sheetName val="do_not_delete12"/>
      <sheetName val="Grafica_Actos12"/>
      <sheetName val="APAC_S12"/>
      <sheetName val="APAC_N12"/>
      <sheetName val="Slide_output12"/>
      <sheetName val="[손익기01_XL??DePara12"/>
      <sheetName val="Farol_Metas12"/>
      <sheetName val="Mod_Relac_12"/>
      <sheetName val="Condiciones_SyE12"/>
      <sheetName val="REALxMETA_-_CERVEJA14"/>
      <sheetName val="REALxMETA_-_REFRI14"/>
      <sheetName val="Directrices_de_Metas_201712"/>
      <sheetName val="Data_validation12"/>
      <sheetName val="_손익기01_XL_x005f_x005f_x005f_x0000__x005f_x005f_12"/>
      <sheetName val="Hazards_Analysis-隐患分析12"/>
      <sheetName val="F08_-_Asia_Pac_Full_Year_Q313"/>
      <sheetName val="Top_Priorities13"/>
      <sheetName val="Listco_Stock13"/>
      <sheetName val="Intl_Purchase13"/>
      <sheetName val="FY_outlook13"/>
      <sheetName val="CY_outlook13"/>
      <sheetName val="Cash_metrics13"/>
      <sheetName val="P6_713"/>
      <sheetName val="DATOS_BASE12"/>
      <sheetName val="97_사업추정(WEKI)12"/>
      <sheetName val="Tong_hop12"/>
      <sheetName val="95_1_1이후취득자산(숨기기상태)12"/>
      <sheetName val="sum1_(2)12"/>
      <sheetName val="3_바닥판설계12"/>
      <sheetName val="6월_공정외주12"/>
      <sheetName val="2_대외공문12"/>
      <sheetName val="2_총괄표12"/>
      <sheetName val="입출재고현황_(2)12"/>
      <sheetName val="504전기실_동부하-L12"/>
      <sheetName val="OUTER_AREA(겹침없음)12"/>
      <sheetName val="EL_표면적12"/>
      <sheetName val="TRE_TABLE12"/>
      <sheetName val="입찰내역_발주처_양식12"/>
      <sheetName val="POC_LIST12"/>
      <sheetName val="turnover_reason퇴직사유12"/>
      <sheetName val="SKU_Basic_Data12"/>
      <sheetName val="Entity_Target12"/>
      <sheetName val="DETALLE_MENSUAL12"/>
      <sheetName val="Drop-down_List11"/>
      <sheetName val="by_DD11"/>
      <sheetName val="VALIDACION_DE_DATOS11"/>
      <sheetName val="Jul-Sep_Actual_cost_(2)11"/>
      <sheetName val="Check_Qualidade10"/>
      <sheetName val="De_Para11"/>
      <sheetName val="Check_Aderencia10"/>
      <sheetName val="_손익기01_XL_x005f_x0000__x010"/>
      <sheetName val="부재료_비교(11년_vs_10년)10"/>
      <sheetName val="Base_Farol10"/>
      <sheetName val="Gerencial_IL10"/>
      <sheetName val="Ventas_Campo10"/>
      <sheetName val="ACTOS_POR_RIESGO10"/>
      <sheetName val="drop_lists10"/>
      <sheetName val="MRL_NON_SUPPLY_URU10"/>
      <sheetName val="AIIM_-_Empresas_Ext_201210"/>
      <sheetName val="KPIs_Hana10"/>
      <sheetName val="Catalago_de_refacciones_10"/>
      <sheetName val="Existencias_al_07-Nov-201210"/>
      <sheetName val="Check_GG10"/>
      <sheetName val="Sheet3_(2)10"/>
      <sheetName val="Nombre_de_SOP10"/>
      <sheetName val="Lao_&amp;_Cam10"/>
      <sheetName val="Hoegaarden_201910"/>
      <sheetName val="Lao_&amp;_Cam_201910"/>
      <sheetName val="Malaysia_201910"/>
      <sheetName val="Singapore_201910"/>
      <sheetName val="Sheet2_(2)10"/>
      <sheetName val="요일_테이블_10"/>
      <sheetName val="Other_Listings10"/>
      <sheetName val="2__Indicadores10"/>
      <sheetName val="Ta_10"/>
      <sheetName val="Lista_de_Entrenamientos_RSO10"/>
      <sheetName val="Tablero_SDG13"/>
      <sheetName val="Lista_Areas13"/>
      <sheetName val="One_Page13"/>
      <sheetName val="Sub-Productos_HN11"/>
      <sheetName val="Eficiencia_linea10"/>
      <sheetName val="_mngt_Pillar10"/>
      <sheetName val="Pauta_RPS_Distribuição9"/>
      <sheetName val="Estoque_(2)9"/>
      <sheetName val="BNR_2012_в_ящике9"/>
      <sheetName val="Comp_Inseguros9"/>
      <sheetName val="DO_NOT_MOVE9"/>
      <sheetName val="DATOS_DE_VALIDACIÓN9"/>
      <sheetName val="Datos_con9"/>
      <sheetName val="_Datos_Cond_9"/>
      <sheetName val="INGRESO_(2)9"/>
      <sheetName val="PG-K1610_(UEN_Areas)MNG9"/>
      <sheetName val="DATOS_GEN_9"/>
      <sheetName val="NUEVOS_CRITERIOS9"/>
      <sheetName val="Condiciones_Agua9"/>
      <sheetName val="__한국_AMP_ASP-23_판㧤가격__8"/>
      <sheetName val="11_䡸화채무줝ⴌ(AFS,HTM)088"/>
      <sheetName val="Drop_list8"/>
      <sheetName val="FX_Rates8"/>
      <sheetName val="Dropdown_list8"/>
      <sheetName val="Vagas_x_Candidatos8"/>
      <sheetName val="Proced_8"/>
      <sheetName val="Cut_Machine_Summary8"/>
      <sheetName val="Control_de_Fallas8"/>
      <sheetName val="Setup_for_Templates8"/>
      <sheetName val="Datos_emp8"/>
      <sheetName val="Validation_lists8"/>
      <sheetName val="TIPO_DE_ACTO8"/>
      <sheetName val="CRITICIDAD_DE_CI8"/>
      <sheetName val="Catálogo_de_CI8"/>
      <sheetName val="%_CUMPLIMIENTO8"/>
      <sheetName val="%_cumplimiento_8"/>
      <sheetName val="CALIFICACIONES_20196"/>
      <sheetName val="Lev_4_360_deg_check_Crit_Task6"/>
      <sheetName val="Lev_4_Chk_IC_Stock_Crit_Task6"/>
      <sheetName val="Lev_4_WMS_Putaway_Crit_Task6"/>
      <sheetName val="Listas_y_equipos_a_evaluar8"/>
      <sheetName val="Data_Reporte8"/>
      <sheetName val="Read_me8"/>
      <sheetName val="NAZ_Strategy6"/>
      <sheetName val="Champions_List7"/>
      <sheetName val="Daily_Dashboard8"/>
      <sheetName val="Mapeo_SKUs8"/>
      <sheetName val="Vol_(Ds)8"/>
      <sheetName val="Vol_(Ka)8"/>
      <sheetName val="Vol_(Oth)8"/>
      <sheetName val="Vol_(Oth)_Cortesias8"/>
      <sheetName val="INPUT-Cust_Sugg_Margin(Ds)8"/>
      <sheetName val="On_Invoice8"/>
      <sheetName val="INPUT-Cust_Sugg_Margin(Ka)8"/>
      <sheetName val="INPUT_SKUs8"/>
      <sheetName val="Brand_P&amp;L6"/>
      <sheetName val="SUPERMONT_P6"/>
      <sheetName val="Data_selection6"/>
      <sheetName val="1_6"/>
      <sheetName val="Customer_&amp;_SO6"/>
      <sheetName val="Session_Proposal6"/>
      <sheetName val="Análise_Tempos5"/>
      <sheetName val="PDA_BOP5"/>
      <sheetName val="Validação_de_Dados5"/>
      <sheetName val="No_llenar_5"/>
      <sheetName val="Incentivo_Automóvil5"/>
      <sheetName val="Project_List4"/>
      <sheetName val="Dropdown_Menu4"/>
      <sheetName val="SOP_Freshness3"/>
      <sheetName val="Lista_de_Motivos5"/>
      <sheetName val="Ponto_Crítico_-_Resp__Plano5"/>
      <sheetName val="Lista_Funcionários_(2)5"/>
      <sheetName val="유류대_현황3"/>
      <sheetName val="Выпадающие_списки4"/>
      <sheetName val="2_3_Projects_Status3"/>
      <sheetName val="mapping_(2)3"/>
      <sheetName val="Ref_3"/>
      <sheetName val="PROCESS_MD5"/>
      <sheetName val="Listas_desplegables3"/>
      <sheetName val="Resumen_General3"/>
      <sheetName val="Cátalogo_de_CI3"/>
      <sheetName val="Hoja2_(2)3"/>
      <sheetName val="Technology_check_list3"/>
      <sheetName val="Status_de_Usuario3"/>
      <sheetName val="Actos_y_Condiciones_3"/>
      <sheetName val="NO_BORRAR3"/>
      <sheetName val="Formato_checklist_Lab3"/>
      <sheetName val="1__템플릿3"/>
      <sheetName val="2__작성_참고사항3"/>
      <sheetName val="Master_Data3"/>
      <sheetName val="Consolidated_Project_List3"/>
      <sheetName val="Fixed_Cost3"/>
      <sheetName val="PAINEL_RECOLHA_CRÉDITO5"/>
      <sheetName val="Gráficos_-_CDD5"/>
      <sheetName val="Dimension_IN_Sheet1!D19123"/>
      <sheetName val="Dimension_IN_19123"/>
      <sheetName val="Manage_to_Sustain2"/>
      <sheetName val="Packages_Info2"/>
      <sheetName val="Meeting_List2"/>
      <sheetName val="3__Training_&amp;_travel2"/>
      <sheetName val="Razão_Social2"/>
      <sheetName val="2020_MMR122"/>
      <sheetName val="입문_트랜드(종합분석)2"/>
      <sheetName val="Master_CE2"/>
      <sheetName val="CE_Final_2"/>
      <sheetName val="OL_LIST2"/>
      <sheetName val="YTD_GUEST_LIST2"/>
      <sheetName val="Session_Full_list2"/>
      <sheetName val="FOOD_PAYMENT_update_JAN2"/>
      <sheetName val="Rate_card_F19_2"/>
      <sheetName val="Master_Plan__(update)2"/>
      <sheetName val="The_KPI_2"/>
      <sheetName val="Mentor_Plan_2"/>
      <sheetName val="Master_Plan_2"/>
      <sheetName val="Tier_1_GOV_PC_Networking_2"/>
      <sheetName val="Tier_1_LBO_2"/>
      <sheetName val="Preferred_Option2"/>
      <sheetName val="FILIAL_MINAS2"/>
      <sheetName val="_손익기01_XL_x005f_x0000__x005f_x005f_x02"/>
      <sheetName val="info_for_drop_box2"/>
      <sheetName val="KPIs-_TTP,_PTP,_People_Turnove2"/>
      <sheetName val="1월_목표2"/>
      <sheetName val="POCM_배송지2"/>
      <sheetName val="Mapping_"/>
      <sheetName val="WS_DB"/>
      <sheetName val="Region_"/>
      <sheetName val="SKU_DB"/>
      <sheetName val="SAP_info"/>
      <sheetName val="Target_Book"/>
      <sheetName val="10_麦汁CIP清洗标准水量"/>
      <sheetName val="데이터_유효성_목록"/>
      <sheetName val="Ref_New_Contract_Model"/>
      <sheetName val="_"/>
      <sheetName val="Lista_AI"/>
      <sheetName val="Name_List"/>
      <sheetName val="Back_Data_12"/>
      <sheetName val="2_주요계수총괄2"/>
      <sheetName val="외주현황_wq11"/>
      <sheetName val="P_M_별3"/>
      <sheetName val="대투_보관자료_변경1"/>
      <sheetName val="Project_Brief2"/>
      <sheetName val="단면_(2)2"/>
      <sheetName val="부대시행1_(2)1"/>
      <sheetName val="1_차입금1"/>
      <sheetName val="근거_및_가정1"/>
      <sheetName val="118_세금과공과2"/>
      <sheetName val="_견적서1"/>
      <sheetName val="Facility_Information2"/>
      <sheetName val="1_본사계정별2"/>
      <sheetName val="3_6_2남양주택배1"/>
      <sheetName val="해외_기술훈련비_(합계)2"/>
      <sheetName val="설산1_나1"/>
      <sheetName val="PAD_TR보호대기초1"/>
      <sheetName val="1월_예산1"/>
      <sheetName val="Utility_Usage_YTN_TOWER1"/>
      <sheetName val="1__시공측량1"/>
      <sheetName val="수종별수량_(2)1"/>
      <sheetName val="전선_및_전선관1"/>
      <sheetName val="설문_평가1"/>
      <sheetName val="B-1_기본정보1"/>
      <sheetName val="납부내역총괄표_(수정)1"/>
      <sheetName val="#1)_투자_구분1"/>
      <sheetName val="Rev__Recon_1"/>
      <sheetName val="1_고객불만건수"/>
      <sheetName val="1_변경범위"/>
      <sheetName val="Weekly_Progress(계장)1"/>
      <sheetName val="2013_2월_연결대상1"/>
      <sheetName val="2-2_투자1"/>
      <sheetName val="Proj__Fin_1"/>
      <sheetName val="ITS_Assumptions"/>
      <sheetName val="7_Utility_Analysis"/>
      <sheetName val="Operational_Activities"/>
      <sheetName val="13_포장용역비표준1"/>
      <sheetName val="9_가공부자재표준1"/>
      <sheetName val="8_ROLL표준(TSW)1"/>
      <sheetName val="4_톤당조관량표준1"/>
      <sheetName val="5_조관부자재표준1"/>
      <sheetName val="KEY_CODE1"/>
      <sheetName val="2-1_강사료,교통비_지급명세1"/>
      <sheetName val="HQ_급여_"/>
      <sheetName val="OF_급여"/>
      <sheetName val="F_Ma급여"/>
      <sheetName val="SMT_급여"/>
      <sheetName val="QC_급여"/>
      <sheetName val="Sam_sung_급여"/>
      <sheetName val="Dlock_급여"/>
      <sheetName val="_thôi_việc_급여"/>
      <sheetName val="Công_smt"/>
      <sheetName val="Công_smt_(2)"/>
      <sheetName val="Detail_smt"/>
      <sheetName val="Công_QC"/>
      <sheetName val="Detail_QC_"/>
      <sheetName val="Công_SS"/>
      <sheetName val="Detail_SS"/>
      <sheetName val="Công_FMa"/>
      <sheetName val="Detail_FMa"/>
      <sheetName val="Công_OF"/>
      <sheetName val="Detail_OF"/>
      <sheetName val="Công_Dlock"/>
      <sheetName val="Detail_Dlock"/>
      <sheetName val="Công_thôi_việc"/>
      <sheetName val="Detail_thôi"/>
      <sheetName val="C1_3_1"/>
      <sheetName val="입찰내역_Ĉᇆ"/>
      <sheetName val="입찰내역_Ĉᇆ"/>
      <sheetName val="실행기성_갑지1"/>
      <sheetName val="Eq__Mobilization"/>
      <sheetName val="1__작성방식"/>
      <sheetName val="표)CFT장_조직별_배분"/>
      <sheetName val="20180214_P&amp;T"/>
      <sheetName val="Ref__중점_추진_과제별_상세"/>
      <sheetName val="2_6_三无_(2)"/>
      <sheetName val="수량산출서_갑지"/>
      <sheetName val="G_R300경비"/>
      <sheetName val="AS포장복구_"/>
      <sheetName val="설_계"/>
      <sheetName val="Worker_List"/>
      <sheetName val="GB-IC_Villingen_GG"/>
      <sheetName val="6월_공嚺㓶가"/>
      <sheetName val="Exchange_rate"/>
      <sheetName val="업무_분류(Category)"/>
      <sheetName val="준검_내역서"/>
      <sheetName val="날개수량1_5"/>
      <sheetName val="sum_x000a_"/>
      <sheetName val="F_월별기성수금현황_"/>
      <sheetName val="기초정보_코드"/>
      <sheetName val="#1_Basic"/>
      <sheetName val="첨부#2_Cash_Flow(현장작성)"/>
      <sheetName val="3_일반사상"/>
      <sheetName val="Bank_code"/>
      <sheetName val="Drop-down_RAW"/>
      <sheetName val="산자사_운전용품"/>
      <sheetName val="보고서_표"/>
      <sheetName val="0__가정_및_결론"/>
      <sheetName val="1__투자비"/>
      <sheetName val="2__Rent-roll"/>
      <sheetName val="3__Funding"/>
      <sheetName val="4__운영수익"/>
      <sheetName val="5__운영비용"/>
      <sheetName val="6_1_N+1년차_NOI_산정"/>
      <sheetName val="6__부동산매각"/>
      <sheetName val="7__보유세"/>
      <sheetName val="8__교통유발부담금"/>
      <sheetName val="9__BS부속"/>
      <sheetName val="10__CF(M)"/>
      <sheetName val="11__IS(M)"/>
      <sheetName val="12__BS(M)"/>
      <sheetName val="14__IS(FY)"/>
      <sheetName val="13__CF(FY)"/>
      <sheetName val="15__BS(FY)"/>
      <sheetName val="16__RE(FY)"/>
      <sheetName val="4_1_월별_에너지_사용량"/>
      <sheetName val="조도계산서_(도서)"/>
      <sheetName val="A(Rev_3)"/>
      <sheetName val="STRAT_PLAN_WKSHT1"/>
      <sheetName val="Sales_Plan_&amp;_other1"/>
      <sheetName val="drop_downs"/>
      <sheetName val="Basic_Information"/>
      <sheetName val="7300-1000_111"/>
      <sheetName val="PJT_현황"/>
      <sheetName val="진행_DATA_(2)"/>
      <sheetName val="참고)_기준정보"/>
      <sheetName val="Long_Term_Prices"/>
      <sheetName val="구분_Table"/>
      <sheetName val="역T형옹벽(3_0)"/>
      <sheetName val="외상매출금현황-수정분_A2"/>
      <sheetName val="PF_현황(11년12월)"/>
      <sheetName val="Tipo_Viaje"/>
      <sheetName val="Flota_y_Personal"/>
      <sheetName val=""/>
      <sheetName val="[손익기01_XL_x0000__x0000_DePara"/>
      <sheetName val="_손익기01_XL_x0000__x0000_DePara"/>
      <sheetName val="_x0018_"/>
      <sheetName val="[손익기01_XLDePara2"/>
      <sheetName val="_손익기01_XLDePara2"/>
      <sheetName val="[손익기01_XLDePara1"/>
      <sheetName val="_손익기01_XLDePara1"/>
      <sheetName val="[손익기01_XLDePara3"/>
      <sheetName val="_손익기01_XLDePara3"/>
      <sheetName val="[손익기01_XLDePara4"/>
      <sheetName val="_손익기01_XLDePara4"/>
      <sheetName val="_손익기01_XL_x1"/>
      <sheetName val="_손익기01_XL_x0000__x0"/>
      <sheetName val="[손익기01_XL_x0000__x0000_DePara5"/>
      <sheetName val="_손익기01_XL_x0000__x0000_DePara5"/>
      <sheetName val="[손익기01_XL_x0000__x0000_DePara6"/>
      <sheetName val="_손익기01_XL_x0000__x0000_DePara6"/>
      <sheetName val="_손익기01_XL_x0000__x01"/>
      <sheetName val="_손익기01_XL_x2"/>
      <sheetName val="_손익기01_XL_x3"/>
      <sheetName val="[손익기01_XL_x0000__x0000_DePara7"/>
      <sheetName val="_손익기01_XL_x0000__x0000_DePara7"/>
      <sheetName val="_손익기01_XL_x0000__x02"/>
      <sheetName val="[손익기01_XLDePara8"/>
      <sheetName val="_손익기01_XLDePara8"/>
      <sheetName val="_손익기01_XL_x03"/>
      <sheetName val="[손익기01_XLDePara9"/>
      <sheetName val="_손익기01_XLDePara9"/>
      <sheetName val="_손익기01_XL_x04"/>
      <sheetName val="[손익기01_XLDePara10"/>
      <sheetName val="_손익기01_XLDePara10"/>
      <sheetName val="_손익기01_XL_x05"/>
      <sheetName val="_손익기01_XL_x4"/>
      <sheetName val="_손익기01_XL_x5"/>
      <sheetName val="_손익기01_XL_x6"/>
      <sheetName val="_손익기01_XL_x7"/>
      <sheetName val="产品相关信息汇总表"/>
      <sheetName val="_손익기01.XL_x005f_x005f_x00"/>
      <sheetName val="_손익기01_XL_x005f_x005f_x00"/>
      <sheetName val="Planilha_relts_xdb75__xdb62_eos"/>
      <sheetName val="子品牌"/>
      <sheetName val="品牌"/>
      <sheetName val="压滤机线糖化计划"/>
      <sheetName val="Target"/>
      <sheetName val="Check"/>
      <sheetName val="Projeto"/>
      <sheetName val="DEX (2)"/>
      <sheetName val="判定-不能删"/>
      <sheetName val="WS"/>
      <sheetName val="经销商信息"/>
      <sheetName val="产品信息"/>
      <sheetName val="填写规范"/>
      <sheetName val="TR  KHCode"/>
      <sheetName val="价格树"/>
      <sheetName val="NDD CPT"/>
      <sheetName val="MP"/>
      <sheetName val="_折扣项 PromotionPlan"/>
      <sheetName val="填写规则"/>
      <sheetName val="大组套餐名称"/>
      <sheetName val="费用概况"/>
      <sheetName val="对应表"/>
      <sheetName val="_손익기01_XL__DePara9"/>
      <sheetName val="강남_CRM_11월"/>
      <sheetName val="COE_Scope_-_Strategic_Projects"/>
      <sheetName val="SEGUIMIENTO_SEMANAL"/>
      <sheetName val="Q4_2018"/>
      <sheetName val="Q4_2019"/>
      <sheetName val="Q4_Sum"/>
      <sheetName val="2020_KPI_LE0"/>
      <sheetName val="TO_TTZ"/>
      <sheetName val="CATÁLOGO_DE_PELIGROS"/>
      <sheetName val="입찰내역_Ĉ"/>
      <sheetName val="match_list"/>
      <sheetName val="Rate_data"/>
      <sheetName val="KPI_need_to_input"/>
      <sheetName val="Template_HN"/>
      <sheetName val="RyNV_detectados_"/>
      <sheetName val="Curva_2021"/>
      <sheetName val="Por_PPR1"/>
      <sheetName val="Nigeria_&amp;_Ghana"/>
      <sheetName val="Resumen_(hL_env)"/>
      <sheetName val="Desplegable"/>
      <sheetName val="SDCA"/>
      <sheetName val="TERMINOS"/>
      <sheetName val="Lista d"/>
      <sheetName val="Catalogo Cursos"/>
      <sheetName val="Catalogo Cursos_"/>
      <sheetName val="Guia"/>
      <sheetName val="Check People"/>
      <sheetName val="GRÁFICA"/>
      <sheetName val="AVANCE PROGRAMACION"/>
      <sheetName val="PAE"/>
      <sheetName val="PGMLOG"/>
      <sheetName val="PGMPROD"/>
      <sheetName val="Cumplimiento por Entrenamiento"/>
      <sheetName val="Cumplimiento del Plan por área"/>
      <sheetName val="BDD_Activos_BU"/>
      <sheetName val="CAPTURA ENE MAY"/>
      <sheetName val="tablas cuadrillas"/>
      <sheetName val="CATALOGOS"/>
      <sheetName val="Seguridad"/>
      <sheetName val="Base de Datos de Activos "/>
      <sheetName val="PIVOT ADHERENCIA"/>
      <sheetName val="Programacion"/>
      <sheetName val="Steps of Committe "/>
      <sheetName val="BDD_Activos_Caribe201910"/>
      <sheetName val="Leyenda"/>
      <sheetName val="IC's (2)"/>
      <sheetName val="Participación en entrenamie (2"/>
      <sheetName val="Detalle para correctivo excep  "/>
      <sheetName val="Bloques"/>
      <sheetName val="Puerto Rico"/>
      <sheetName val="Z30"/>
      <sheetName val="Z40"/>
      <sheetName val="AI OYS Acum"/>
      <sheetName val="Boletas Condiciones"/>
      <sheetName val="GraficosEarly"/>
      <sheetName val="1.1"/>
      <sheetName val="1.2"/>
      <sheetName val="2.1-Pareto"/>
      <sheetName val="Datos Mensuales"/>
      <sheetName val="Indicador EE Mensual"/>
      <sheetName val="Detalle_para_correctivo_excep__"/>
      <sheetName val="Lista_d"/>
      <sheetName val="CRITERIOS_DE_AI"/>
      <sheetName val="Plan de Acción MAZ"/>
      <sheetName val="Puerto_Rico"/>
      <sheetName val="AI_OYS_Acum"/>
      <sheetName val="Boletas_Condiciones"/>
      <sheetName val="1_11"/>
      <sheetName val="1_21"/>
      <sheetName val="2_1-Pareto"/>
      <sheetName val="Datos_Mensuales"/>
      <sheetName val="Indicador_EE_Mensual"/>
      <sheetName val="NewProjectStatus"/>
      <sheetName val="ProjectStatus"/>
      <sheetName val="TO_Data_Base25"/>
      <sheetName val="YTD_Summary24"/>
      <sheetName val="Month_Summary24"/>
      <sheetName val="Trial_Balance_MAY_200924"/>
      <sheetName val="TB_Pivot24"/>
      <sheetName val="total_per_LB_LB224"/>
      <sheetName val="Trial_Balance_Vlookup24"/>
      <sheetName val="Trial_Balance_APRIL_200924"/>
      <sheetName val="Roll_Out_AQ24"/>
      <sheetName val="Evolução_mandamentos24"/>
      <sheetName val="Planilha_resultados23"/>
      <sheetName val="Historico_200323"/>
      <sheetName val="Sig_Cycles_Accts_&amp;_Processes23"/>
      <sheetName val="Fixed_ZBB17"/>
      <sheetName val="E_法规NC17"/>
      <sheetName val="3_ISo_YTD17"/>
      <sheetName val="Données_LMU17"/>
      <sheetName val="Brazil_Sovereign17"/>
      <sheetName val="Base_de_Dados17"/>
      <sheetName val="Resumen_Costo17"/>
      <sheetName val="Extract_Loss17"/>
      <sheetName val="QA_跟踪记录表17"/>
      <sheetName val="5_117"/>
      <sheetName val="material_data17"/>
      <sheetName val="other_data17"/>
      <sheetName val="Dados_BLP17"/>
      <sheetName val="Como_Estamos17"/>
      <sheetName val="RG_Depots17"/>
      <sheetName val="Base_PEF18"/>
      <sheetName val="SKU_Mapping17"/>
      <sheetName val="Drop_Down17"/>
      <sheetName val="Controls_data19"/>
      <sheetName val="Testing_Template_Guidance17"/>
      <sheetName val="Test_Programs17"/>
      <sheetName val="Raw_Data17"/>
      <sheetName val="EBM-2_GHQ17"/>
      <sheetName val="JOB_PROFILE_-_LAS17"/>
      <sheetName val="ARdistr_(2)17"/>
      <sheetName val="Database_(RUR)Mar_YTD17"/>
      <sheetName val="look-up_data16"/>
      <sheetName val="FJJX_Bud_IB16"/>
      <sheetName val="Com_(2PK)16"/>
      <sheetName val="Prd_Hierarchy(产品层级)16"/>
      <sheetName val="Project_Code16"/>
      <sheetName val="요일_테이블17"/>
      <sheetName val="요일_테이블_(2)16"/>
      <sheetName val="전사_PL18"/>
      <sheetName val="자금_제외_PL18"/>
      <sheetName val="자금_PL18"/>
      <sheetName val="전사_BS18"/>
      <sheetName val="자금_제외_BS18"/>
      <sheetName val="자금_BS18"/>
      <sheetName val="BS_계정_설명18"/>
      <sheetName val="_Cash_Flow(전사)18"/>
      <sheetName val="_Cash_Flow(자금제외)18"/>
      <sheetName val="_Cash_Flow(자금)18"/>
      <sheetName val="ROIC_18"/>
      <sheetName val="인건비_명세18"/>
      <sheetName val="판관비_명세18"/>
      <sheetName val="OH_Cost경비(내역)18"/>
      <sheetName val="OH_Cost경비(배부기준)18"/>
      <sheetName val="기타수지&amp;특별손익_명세18"/>
      <sheetName val="업무연락_(2)17"/>
      <sheetName val="제시_손익계산서17"/>
      <sheetName val="01_02월_성과급18"/>
      <sheetName val="M_7회차_담금_계획17"/>
      <sheetName val="팀별_실적17"/>
      <sheetName val="팀별_실적_(환산)17"/>
      <sheetName val="4__Inj_투자상세내역17"/>
      <sheetName val="3__Blow_투자_상세내역17"/>
      <sheetName val="Process_List17"/>
      <sheetName val="7_(2)17"/>
      <sheetName val="Prd_Hierarchy(产品层次)16"/>
      <sheetName val="_손익기01_XL16"/>
      <sheetName val="Income_Stmt16"/>
      <sheetName val="drop_down_list16"/>
      <sheetName val="[손익기01_XL_x005f_x0000__x005f_x0000_DePara16"/>
      <sheetName val="Set_Up16"/>
      <sheetName val="[손익기01_XL16"/>
      <sheetName val="Quarterly_LBO_Model16"/>
      <sheetName val="tab_STATUS_DO_PROCESSO_15"/>
      <sheetName val="CLASIFICACION_DE_AI15"/>
      <sheetName val="Base_da_Datos15"/>
      <sheetName val="_손익기01_XL_x005f_x0000__x005f_x0000_DePara16"/>
      <sheetName val="Perf__Plan__Diário115"/>
      <sheetName val="In_(2)15"/>
      <sheetName val="Classification_分类15"/>
      <sheetName val="15년_BL_사계16"/>
      <sheetName val="1_종합손익(도급)16"/>
      <sheetName val="1_종합손익(주택,개발)16"/>
      <sheetName val="2_실행예산16"/>
      <sheetName val="2_2과부족16"/>
      <sheetName val="2_3원가절감16"/>
      <sheetName val="8_외주비집행현황16"/>
      <sheetName val="9_자재비16"/>
      <sheetName val="10_현장집행16"/>
      <sheetName val="3_추가원가16"/>
      <sheetName val="3_추가원가_(2)16"/>
      <sheetName val="4_사전공사16"/>
      <sheetName val="5_추정공사비16"/>
      <sheetName val="6_금융비용16"/>
      <sheetName val="7_공사비집행현황(총괄)16"/>
      <sheetName val="11_1생산성16"/>
      <sheetName val="11_2인원산출16"/>
      <sheetName val="Figures_Report15"/>
      <sheetName val="Dados_dos_Produtos15"/>
      <sheetName val="Fare_prices15"/>
      <sheetName val="Hotel_prices15"/>
      <sheetName val="MASTER_APP14"/>
      <sheetName val="Cond__Inseguros14"/>
      <sheetName val="Comp__Inseguros14"/>
      <sheetName val="__한국_AMP_ASP-23_판매가격__15"/>
      <sheetName val="CC_Down_load_071615"/>
      <sheetName val="변경실행(2차)_15"/>
      <sheetName val="나_출고15"/>
      <sheetName val="나_입고15"/>
      <sheetName val="09년_인건비(속리산)15"/>
      <sheetName val="합산목표(감가+57_5)15"/>
      <sheetName val="제조원가_원단위_분석15"/>
      <sheetName val="종합표양식(품의_&amp;_입고)_215"/>
      <sheetName val="원가관리_(동월대비)15"/>
      <sheetName val="b_balju_(2)15"/>
      <sheetName val="2-2_매출분석15"/>
      <sheetName val="몰드시스템_리스트15"/>
      <sheetName val="11_외화채무증권(AFS,HTM)0815"/>
      <sheetName val="13_감액TEST_0815"/>
      <sheetName val="12년_CF(9월)15"/>
      <sheetName val="중기조종사_단위단가15"/>
      <sheetName val="6PILE__(돌출)15"/>
      <sheetName val="기성청구_공문15"/>
      <sheetName val="Sheet1_(2)15"/>
      <sheetName val="slide_24_cat_A15"/>
      <sheetName val="slide_82_cat_b15"/>
      <sheetName val="09~10년_매출계획15"/>
      <sheetName val="1_MDF1공장15"/>
      <sheetName val="Incident_유형구분표15"/>
      <sheetName val="3YP2016-Bottom_up14"/>
      <sheetName val="DD_list15"/>
      <sheetName val="Lista_de_datos14"/>
      <sheetName val="Base_de_Datos14"/>
      <sheetName val="Farol_Acciones14"/>
      <sheetName val="Lista_de_Entrenamientos14"/>
      <sheetName val="Clasif_14"/>
      <sheetName val="Lista_CI14"/>
      <sheetName val="2_카드채권(대출포함)14"/>
      <sheetName val="表21_净利润调节表14"/>
      <sheetName val="Unidades_SAC-REVENDA15"/>
      <sheetName val="FornecM_Check13"/>
      <sheetName val="Supply_Cost_Centers14"/>
      <sheetName val="Faro_de_Indicadores13"/>
      <sheetName val="TOP_KPIs_MTM13"/>
      <sheetName val="PLAN_DE_ACCION13"/>
      <sheetName val="Grafica_Actos13"/>
      <sheetName val="Estratificación_AI13"/>
      <sheetName val="condicion_inseguras13"/>
      <sheetName val="Actos_Inseguros13"/>
      <sheetName val="Control_de_incidentes13"/>
      <sheetName val="Plan_de_Acción13"/>
      <sheetName val="REALxMETA_-_CERVEJA15"/>
      <sheetName val="REALxMETA_-_REFRI15"/>
      <sheetName val="Condiciones_SyE13"/>
      <sheetName val="Share_Price_200214"/>
      <sheetName val="_DD_List14"/>
      <sheetName val="BEP_加薪_KPI13"/>
      <sheetName val="[손익기01_XL??DePara13"/>
      <sheetName val="Farol_Metas13"/>
      <sheetName val="Dashboard_Prevención_Riesgos_13"/>
      <sheetName val="Mod_Relac_13"/>
      <sheetName val="Directrices_de_Metas_201713"/>
      <sheetName val="Issues_List_Payments13"/>
      <sheetName val="DETALLE_MENSUAL13"/>
      <sheetName val="POC_LIST13"/>
      <sheetName val="Entity_Target13"/>
      <sheetName val="Check_Qualidade11"/>
      <sheetName val="do_not_delete13"/>
      <sheetName val="APAC_S13"/>
      <sheetName val="APAC_N13"/>
      <sheetName val="Slide_output13"/>
      <sheetName val="_손익기01_XL_x005f_x005f_x005f_x0000__x005f_x005f_13"/>
      <sheetName val="F08_-_Asia_Pac_Full_Year_Q314"/>
      <sheetName val="Top_Priorities14"/>
      <sheetName val="Listco_Stock14"/>
      <sheetName val="Intl_Purchase14"/>
      <sheetName val="FY_outlook14"/>
      <sheetName val="CY_outlook14"/>
      <sheetName val="Cash_metrics14"/>
      <sheetName val="P6_714"/>
      <sheetName val="DATOS_BASE13"/>
      <sheetName val="Hazards_Analysis-隐患分析13"/>
      <sheetName val="97_사업추정(WEKI)13"/>
      <sheetName val="Tong_hop13"/>
      <sheetName val="95_1_1이후취득자산(숨기기상태)13"/>
      <sheetName val="sum1_(2)13"/>
      <sheetName val="3_바닥판설계13"/>
      <sheetName val="6월_공정외주13"/>
      <sheetName val="2_대외공문13"/>
      <sheetName val="2_총괄표13"/>
      <sheetName val="입출재고현황_(2)13"/>
      <sheetName val="504전기실_동부하-L13"/>
      <sheetName val="OUTER_AREA(겹침없음)13"/>
      <sheetName val="EL_표면적13"/>
      <sheetName val="TRE_TABLE13"/>
      <sheetName val="입찰내역_발주처_양식13"/>
      <sheetName val="turnover_reason퇴직사유13"/>
      <sheetName val="Data_validation13"/>
      <sheetName val="SKU_Basic_Data13"/>
      <sheetName val="Check_Aderencia11"/>
      <sheetName val="De_Para12"/>
      <sheetName val="Ventas_Campo11"/>
      <sheetName val="Base_Farol11"/>
      <sheetName val="Gerencial_IL11"/>
      <sheetName val="VALIDACION_DE_DATOS12"/>
      <sheetName val="KPIs_Hana11"/>
      <sheetName val="Catalago_de_refacciones_11"/>
      <sheetName val="Existencias_al_07-Nov-201211"/>
      <sheetName val="ACTOS_POR_RIESGO11"/>
      <sheetName val="drop_lists11"/>
      <sheetName val="Check_GG11"/>
      <sheetName val="AIIM_-_Empresas_Ext_201211"/>
      <sheetName val="Nombre_de_SOP11"/>
      <sheetName val="Ta_11"/>
      <sheetName val="2__Indicadores11"/>
      <sheetName val="Drop-down_List12"/>
      <sheetName val="by_DD12"/>
      <sheetName val="Jul-Sep_Actual_cost_(2)12"/>
      <sheetName val="MRL_NON_SUPPLY_URU11"/>
      <sheetName val="Lista_de_Entrenamientos_RSO11"/>
      <sheetName val="Tablero_SDG14"/>
      <sheetName val="Lista_Areas14"/>
      <sheetName val="One_Page14"/>
      <sheetName val="Sub-Productos_HN12"/>
      <sheetName val="Eficiencia_linea11"/>
      <sheetName val="_손익기01_XL_x005f_x0000__x011"/>
      <sheetName val="부재료_비교(11년_vs_10년)11"/>
      <sheetName val="_mngt_Pillar11"/>
      <sheetName val="Comp_Inseguros10"/>
      <sheetName val="Pauta_RPS_Distribuição10"/>
      <sheetName val="Estoque_(2)10"/>
      <sheetName val="Sheet3_(2)11"/>
      <sheetName val="Lao_&amp;_Cam11"/>
      <sheetName val="Hoegaarden_201911"/>
      <sheetName val="Lao_&amp;_Cam_201911"/>
      <sheetName val="Malaysia_201911"/>
      <sheetName val="Singapore_201911"/>
      <sheetName val="Sheet2_(2)11"/>
      <sheetName val="요일_테이블_11"/>
      <sheetName val="Other_Listings11"/>
      <sheetName val="BNR_2012_в_ящике10"/>
      <sheetName val="FX_Rates9"/>
      <sheetName val="__한국_AMP_ASP-23_판㧤가격__9"/>
      <sheetName val="11_䡸화채무줝ⴌ(AFS,HTM)089"/>
      <sheetName val="Drop_list9"/>
      <sheetName val="Vagas_x_Candidatos9"/>
      <sheetName val="DO_NOT_MOVE10"/>
      <sheetName val="DATOS_DE_VALIDACIÓN10"/>
      <sheetName val="Datos_con10"/>
      <sheetName val="_Datos_Cond_10"/>
      <sheetName val="INGRESO_(2)10"/>
      <sheetName val="PG-K1610_(UEN_Areas)MNG10"/>
      <sheetName val="DATOS_GEN_10"/>
      <sheetName val="NUEVOS_CRITERIOS10"/>
      <sheetName val="Condiciones_Agua10"/>
      <sheetName val="Análise_Tempos6"/>
      <sheetName val="Dropdown_list9"/>
      <sheetName val="Proced_9"/>
      <sheetName val="Cut_Machine_Summary9"/>
      <sheetName val="Control_de_Fallas9"/>
      <sheetName val="Setup_for_Templates9"/>
      <sheetName val="Datos_emp9"/>
      <sheetName val="Validation_lists9"/>
      <sheetName val="Validação_de_Dados6"/>
      <sheetName val="Lista_de_Motivos6"/>
      <sheetName val="Ponto_Crítico_-_Resp__Plano6"/>
      <sheetName val="Lista_Funcionários_(2)6"/>
      <sheetName val="No_llenar_6"/>
      <sheetName val="TIPO_DE_ACTO9"/>
      <sheetName val="CRITICIDAD_DE_CI9"/>
      <sheetName val="Catálogo_de_CI9"/>
      <sheetName val="%_CUMPLIMIENTO9"/>
      <sheetName val="%_cumplimiento_9"/>
      <sheetName val="CALIFICACIONES_20197"/>
      <sheetName val="Lev_4_360_deg_check_Crit_Task7"/>
      <sheetName val="Lev_4_Chk_IC_Stock_Crit_Task7"/>
      <sheetName val="Lev_4_WMS_Putaway_Crit_Task7"/>
      <sheetName val="PAINEL_RECOLHA_CRÉDITO6"/>
      <sheetName val="Gráficos_-_CDD6"/>
      <sheetName val="Listas_y_equipos_a_evaluar9"/>
      <sheetName val="Data_Reporte9"/>
      <sheetName val="Read_me9"/>
      <sheetName val="Champions_List8"/>
      <sheetName val="NAZ_Strategy7"/>
      <sheetName val="Razão_Social3"/>
      <sheetName val="Daily_Dashboard9"/>
      <sheetName val="Mapeo_SKUs9"/>
      <sheetName val="Vol_(Ds)9"/>
      <sheetName val="Vol_(Ka)9"/>
      <sheetName val="Vol_(Oth)9"/>
      <sheetName val="Vol_(Oth)_Cortesias9"/>
      <sheetName val="INPUT-Cust_Sugg_Margin(Ds)9"/>
      <sheetName val="On_Invoice9"/>
      <sheetName val="INPUT-Cust_Sugg_Margin(Ka)9"/>
      <sheetName val="INPUT_SKUs9"/>
      <sheetName val="Brand_P&amp;L7"/>
      <sheetName val="SUPERMONT_P7"/>
      <sheetName val="Data_selection7"/>
      <sheetName val="1_7"/>
      <sheetName val="Customer_&amp;_SO7"/>
      <sheetName val="Session_Proposal7"/>
      <sheetName val="PDA_BOP6"/>
      <sheetName val="Incentivo_Automóvil6"/>
      <sheetName val="Status_de_Usuario4"/>
      <sheetName val="Listas_desplegables4"/>
      <sheetName val="Resumen_General4"/>
      <sheetName val="Cátalogo_de_CI4"/>
      <sheetName val="Hoja2_(2)4"/>
      <sheetName val="Technology_check_list4"/>
      <sheetName val="Actos_y_Condiciones_4"/>
      <sheetName val="NO_BORRAR4"/>
      <sheetName val="PROCESS_MD6"/>
      <sheetName val="Dropdown_Menu5"/>
      <sheetName val="Project_List5"/>
      <sheetName val="Выпадающие_списки5"/>
      <sheetName val="유류대_현황4"/>
      <sheetName val="2_3_Projects_Status4"/>
      <sheetName val="mapping_(2)4"/>
      <sheetName val="Ref_4"/>
      <sheetName val="SOP_Freshness4"/>
      <sheetName val="Formato_checklist_Lab4"/>
      <sheetName val="1__템플릿4"/>
      <sheetName val="2__작성_참고사항4"/>
      <sheetName val="Master_Data4"/>
      <sheetName val="Consolidated_Project_List4"/>
      <sheetName val="Fixed_Cost4"/>
      <sheetName val="Dimension_IN_Sheet1!D19124"/>
      <sheetName val="Dimension_IN_19124"/>
      <sheetName val="Manage_to_Sustain3"/>
      <sheetName val="Packages_Info3"/>
      <sheetName val="Meeting_List3"/>
      <sheetName val="3__Training_&amp;_travel3"/>
      <sheetName val="FILIAL_MINAS3"/>
      <sheetName val="2020_MMR123"/>
      <sheetName val="입문_트랜드(종합분석)3"/>
      <sheetName val="Master_CE3"/>
      <sheetName val="CE_Final_3"/>
      <sheetName val="OL_LIST3"/>
      <sheetName val="YTD_GUEST_LIST3"/>
      <sheetName val="Session_Full_list3"/>
      <sheetName val="FOOD_PAYMENT_update_JAN3"/>
      <sheetName val="Rate_card_F19_3"/>
      <sheetName val="Master_Plan__(update)3"/>
      <sheetName val="The_KPI_3"/>
      <sheetName val="Mentor_Plan_3"/>
      <sheetName val="Master_Plan_3"/>
      <sheetName val="Tier_1_GOV_PC_Networking_3"/>
      <sheetName val="Tier_1_LBO_3"/>
      <sheetName val="Preferred_Option3"/>
      <sheetName val="_손익기01_XL_x005f_x0000__x005f_x005f_x03"/>
      <sheetName val="info_for_drop_box3"/>
      <sheetName val="KPIs-_TTP,_PTP,_People_Turnove3"/>
      <sheetName val="1월_목표3"/>
      <sheetName val="POCM_배송지3"/>
      <sheetName val="Mapping_1"/>
      <sheetName val="WS_DB1"/>
      <sheetName val="Region_1"/>
      <sheetName val="SKU_DB1"/>
      <sheetName val="SAP_info1"/>
      <sheetName val="Target_Book1"/>
      <sheetName val="10_麦汁CIP清洗标准水量1"/>
      <sheetName val="Lista_AI1"/>
      <sheetName val="COE_Scope_-_Strategic_Projects1"/>
      <sheetName val="SEGUIMIENTO_SEMANAL1"/>
      <sheetName val="Tipo_Viaje1"/>
      <sheetName val="Flota_y_Personal1"/>
      <sheetName val="TO_TTZ1"/>
      <sheetName val="CATÁLOGO_DE_PELIGROS1"/>
      <sheetName val="데이터_유효성_목록1"/>
      <sheetName val="Ref_New_Contract_Model1"/>
      <sheetName val="RyNV_detectados_1"/>
      <sheetName val="Curva_20211"/>
      <sheetName val="Por_PPR2"/>
      <sheetName val="Name_List1"/>
      <sheetName val="Back_Data_13"/>
      <sheetName val="2_주요계수총괄3"/>
      <sheetName val="외주현황_wq12"/>
      <sheetName val="P_M_별4"/>
      <sheetName val="대투_보관자료_변경2"/>
      <sheetName val="Project_Brief3"/>
      <sheetName val="단면_(2)3"/>
      <sheetName val="부대시행1_(2)2"/>
      <sheetName val="1_차입금2"/>
      <sheetName val="근거_및_가정2"/>
      <sheetName val="118_세금과공과3"/>
      <sheetName val="_견적서2"/>
      <sheetName val="Facility_Information3"/>
      <sheetName val="1_본사계정별3"/>
      <sheetName val="3_6_2남양주택배2"/>
      <sheetName val="해외_기술훈련비_(합계)3"/>
      <sheetName val="설산1_나2"/>
      <sheetName val="PAD_TR보호대기초2"/>
      <sheetName val="1월_예산2"/>
      <sheetName val="Utility_Usage_YTN_TOWER2"/>
      <sheetName val="1__시공측량2"/>
      <sheetName val="수종별수량_(2)2"/>
      <sheetName val="전선_및_전선관2"/>
      <sheetName val="설문_평가2"/>
      <sheetName val="B-1_기본정보2"/>
      <sheetName val="납부내역총괄표_(수정)2"/>
      <sheetName val="#1)_투자_구분2"/>
      <sheetName val="Rev__Recon_11"/>
      <sheetName val="1_고객불만건수1"/>
      <sheetName val="1_변경범위1"/>
      <sheetName val="Weekly_Progress(계장)2"/>
      <sheetName val="2013_2월_연결대상2"/>
      <sheetName val="2-2_투자2"/>
      <sheetName val="Proj__Fin_2"/>
      <sheetName val="ITS_Assumptions1"/>
      <sheetName val="7_Utility_Analysis1"/>
      <sheetName val="Operational_Activities1"/>
      <sheetName val="13_포장용역비표준2"/>
      <sheetName val="9_가공부자재표준2"/>
      <sheetName val="8_ROLL표준(TSW)2"/>
      <sheetName val="4_톤당조관량표준2"/>
      <sheetName val="5_조관부자재표준2"/>
      <sheetName val="KEY_CODE2"/>
      <sheetName val="2-1_강사료,교통비_지급명세2"/>
      <sheetName val="HQ_급여_1"/>
      <sheetName val="OF_급여1"/>
      <sheetName val="F_Ma급여1"/>
      <sheetName val="SMT_급여1"/>
      <sheetName val="QC_급여1"/>
      <sheetName val="Sam_sung_급여1"/>
      <sheetName val="Dlock_급여1"/>
      <sheetName val="_thôi_việc_급여1"/>
      <sheetName val="Công_smt1"/>
      <sheetName val="Công_smt_(2)1"/>
      <sheetName val="Detail_smt1"/>
      <sheetName val="Công_QC1"/>
      <sheetName val="Detail_QC_1"/>
      <sheetName val="Công_SS1"/>
      <sheetName val="Detail_SS1"/>
      <sheetName val="Công_FMa1"/>
      <sheetName val="Detail_FMa1"/>
      <sheetName val="Công_OF1"/>
      <sheetName val="Detail_OF1"/>
      <sheetName val="Công_Dlock1"/>
      <sheetName val="Detail_Dlock1"/>
      <sheetName val="Công_thôi_việc1"/>
      <sheetName val="Detail_thôi1"/>
      <sheetName val="C1_3_11"/>
      <sheetName val="실행기성_갑지2"/>
      <sheetName val="Eq__Mobilization1"/>
      <sheetName val="1__작성방식1"/>
      <sheetName val="표)CFT장_조직별_배분1"/>
      <sheetName val="20180214_P&amp;T1"/>
      <sheetName val="Ref__중점_추진_과제별_상세1"/>
      <sheetName val="2_6_三无_(2)1"/>
      <sheetName val="수량산출서_갑지1"/>
      <sheetName val="G_R300경비1"/>
      <sheetName val="AS포장복구_1"/>
      <sheetName val="설_계1"/>
      <sheetName val="Worker_List1"/>
      <sheetName val="GB-IC_Villingen_GG1"/>
      <sheetName val="6월_공嚺㓶가1"/>
      <sheetName val="Exchange_rate1"/>
      <sheetName val="업무_분류(Category)1"/>
      <sheetName val="준검_내역서1"/>
      <sheetName val="날개수량1_51"/>
      <sheetName val="F_월별기성수금현황_1"/>
      <sheetName val="기초정보_코드1"/>
      <sheetName val="#1_Basic1"/>
      <sheetName val="첨부#2_Cash_Flow(현장작성)1"/>
      <sheetName val="3_일반사상1"/>
      <sheetName val="Bank_code1"/>
      <sheetName val="Drop-down_RAW1"/>
      <sheetName val="산자사_운전용품1"/>
      <sheetName val="보고서_표1"/>
      <sheetName val="0__가정_및_결론1"/>
      <sheetName val="1__투자비1"/>
      <sheetName val="2__Rent-roll1"/>
      <sheetName val="3__Funding1"/>
      <sheetName val="4__운영수익1"/>
      <sheetName val="5__운영비용1"/>
      <sheetName val="6_1_N+1년차_NOI_산정1"/>
      <sheetName val="6__부동산매각1"/>
      <sheetName val="7__보유세1"/>
      <sheetName val="8__교통유발부담금1"/>
      <sheetName val="9__BS부속1"/>
      <sheetName val="10__CF(M)1"/>
      <sheetName val="11__IS(M)1"/>
      <sheetName val="12__BS(M)1"/>
      <sheetName val="14__IS(FY)1"/>
      <sheetName val="13__CF(FY)1"/>
      <sheetName val="15__BS(FY)1"/>
      <sheetName val="16__RE(FY)1"/>
      <sheetName val="4_1_월별_에너지_사용량1"/>
      <sheetName val="조도계산서_(도서)1"/>
      <sheetName val="A(Rev_3)1"/>
      <sheetName val="STRAT_PLAN_WKSHT2"/>
      <sheetName val="Sales_Plan_&amp;_other2"/>
      <sheetName val="drop_downs1"/>
      <sheetName val="Basic_Information1"/>
      <sheetName val="7300-1000_112"/>
      <sheetName val="PJT_현황1"/>
      <sheetName val="진행_DATA_(2)1"/>
      <sheetName val="참고)_기준정보1"/>
      <sheetName val="Long_Term_Prices1"/>
      <sheetName val="구분_Table1"/>
      <sheetName val="역T형옹벽(3_0)1"/>
      <sheetName val="외상매출금현황-수정분_A21"/>
      <sheetName val="PF_현황(11년12월)1"/>
      <sheetName val="_1"/>
      <sheetName val="Template_HN1"/>
      <sheetName val="Resumen_(hL_env)1"/>
      <sheetName val="_손익기01_XL__DePara10"/>
      <sheetName val="입찰내역_Ĉ1"/>
      <sheetName val="match_list1"/>
      <sheetName val="Q4_20181"/>
      <sheetName val="Q4_20191"/>
      <sheetName val="Q4_Sum1"/>
      <sheetName val="2020_KPI_LE01"/>
      <sheetName val="Rate_data1"/>
      <sheetName val="KPI_need_to_input1"/>
      <sheetName val="강남_CRM_11월1"/>
      <sheetName val="CRITERIOS_DE_AI1"/>
      <sheetName val="Nigeria_&amp;_Ghana1"/>
      <sheetName val="Manual_Database"/>
      <sheetName val="_손익기01_XL_x005f_x005f_x001"/>
      <sheetName val="DEX_(2)"/>
      <sheetName val="TR__KHCode"/>
      <sheetName val="NDD_CPT"/>
      <sheetName val="_折扣项_PromotionPlan"/>
      <sheetName val="Lista_d1"/>
      <sheetName val="Catalogo_Cursos"/>
      <sheetName val="Catalogo_Cursos_"/>
      <sheetName val="Check_People"/>
      <sheetName val="AVANCE_PROGRAMACION"/>
      <sheetName val="Cumplimiento_por_Entrenamiento"/>
      <sheetName val="Cumplimiento_del_Plan_por_área"/>
      <sheetName val="CAPTURA_ENE_MAY"/>
      <sheetName val="tablas_cuadrillas"/>
      <sheetName val="Base_de_Datos_de_Activos_"/>
      <sheetName val="PIVOT_ADHERENCIA"/>
      <sheetName val="Steps_of_Committe_"/>
      <sheetName val="IC's_(2)"/>
      <sheetName val="Participación_en_entrenamie_(2"/>
      <sheetName val="Detalle_para_correctivo_excep_1"/>
      <sheetName val="Puerto_Rico1"/>
      <sheetName val="AI_OYS_Acum1"/>
      <sheetName val="Boletas_Condiciones1"/>
      <sheetName val="1_12"/>
      <sheetName val="1_22"/>
      <sheetName val="2_1-Pareto1"/>
      <sheetName val="Datos_Mensuales1"/>
      <sheetName val="Indicador_EE_Mensual1"/>
      <sheetName val="Plan_de_Acción_MAZ"/>
      <sheetName val="DIAGEO VENTURE"/>
      <sheetName val="3__Training_&amp;_travel4"/>
      <sheetName val="MAESTRO CODIGOS"/>
      <sheetName val="Por regional"/>
      <sheetName val="Por Proveedor"/>
      <sheetName val="X Categoria"/>
      <sheetName val="Por Vendedor"/>
      <sheetName val="Por Mayoristas"/>
      <sheetName val="Por Cliente"/>
      <sheetName val="Por producto"/>
      <sheetName val="Por producto cant."/>
      <sheetName val="Por producto cant. (2)"/>
      <sheetName val="Por Vendedor X Ciudad"/>
      <sheetName val="Act por cliente"/>
      <sheetName val="Act por Proveedor"/>
      <sheetName val="Act por producto"/>
      <sheetName val="NIUs"/>
      <sheetName val="IH跟踪"/>
      <sheetName val="Probability and Consequence"/>
      <sheetName val="COE_Scope_-_Strategic_Projects2"/>
      <sheetName val="CATÁLOGO_DE_PELIGROS2"/>
      <sheetName val="TO_TTZ2"/>
      <sheetName val="SEGUIMIENTO_SEMANAL2"/>
      <sheetName val="Tipo_Viaje2"/>
      <sheetName val="Flota_y_Personal2"/>
      <sheetName val="CRITERIOS_DE_AI2"/>
      <sheetName val="RyNV_detectados_2"/>
      <sheetName val="Total marcas"/>
      <sheetName val="Fase 1"/>
      <sheetName val="Fase 2"/>
      <sheetName val="Fase 3"/>
      <sheetName val="Ajuste"/>
      <sheetName val="TSC_Mensual"/>
      <sheetName val="synthgraph"/>
      <sheetName val="TO_Data_Base26"/>
      <sheetName val="YTD_Summary25"/>
      <sheetName val="Month_Summary25"/>
      <sheetName val="Trial_Balance_MAY_200925"/>
      <sheetName val="TB_Pivot25"/>
      <sheetName val="total_per_LB_LB225"/>
      <sheetName val="Trial_Balance_Vlookup25"/>
      <sheetName val="Trial_Balance_APRIL_200925"/>
      <sheetName val="Roll_Out_AQ25"/>
      <sheetName val="Evolução_mandamentos25"/>
      <sheetName val="Planilha_resultados24"/>
      <sheetName val="Historico_200324"/>
      <sheetName val="Sig_Cycles_Accts_&amp;_Processes24"/>
      <sheetName val="Fixed_ZBB18"/>
      <sheetName val="E_法规NC18"/>
      <sheetName val="3_ISo_YTD18"/>
      <sheetName val="Données_LMU18"/>
      <sheetName val="Brazil_Sovereign18"/>
      <sheetName val="Resumen_Costo18"/>
      <sheetName val="Base_de_Dados18"/>
      <sheetName val="Extract_Loss18"/>
      <sheetName val="5_118"/>
      <sheetName val="QA_跟踪记录表18"/>
      <sheetName val="RG_Depots18"/>
      <sheetName val="material_data18"/>
      <sheetName val="other_data18"/>
      <sheetName val="Como_Estamos18"/>
      <sheetName val="Database_(RUR)Mar_YTD18"/>
      <sheetName val="SKU_Mapping18"/>
      <sheetName val="Drop_Down18"/>
      <sheetName val="Raw_Data18"/>
      <sheetName val="EBM-2_GHQ18"/>
      <sheetName val="Base_PEF19"/>
      <sheetName val="Controls_data20"/>
      <sheetName val="Testing_Template_Guidance18"/>
      <sheetName val="Test_Programs18"/>
      <sheetName val="Dados_BLP18"/>
      <sheetName val="FJJX_Bud_IB17"/>
      <sheetName val="JOB_PROFILE_-_LAS18"/>
      <sheetName val="ARdistr_(2)18"/>
      <sheetName val="look-up_data17"/>
      <sheetName val="Prd_Hierarchy(产品层级)17"/>
      <sheetName val="Com_(2PK)17"/>
      <sheetName val="Project_Code17"/>
      <sheetName val="요일_테이블18"/>
      <sheetName val="요일_테이블_(2)17"/>
      <sheetName val="Prd_Hierarchy(产品层次)17"/>
      <sheetName val="전사_PL19"/>
      <sheetName val="자금_제외_PL19"/>
      <sheetName val="자금_PL19"/>
      <sheetName val="전사_BS19"/>
      <sheetName val="자금_제외_BS19"/>
      <sheetName val="자금_BS19"/>
      <sheetName val="BS_계정_설명19"/>
      <sheetName val="_Cash_Flow(전사)19"/>
      <sheetName val="_Cash_Flow(자금제외)19"/>
      <sheetName val="_Cash_Flow(자금)19"/>
      <sheetName val="ROIC_19"/>
      <sheetName val="인건비_명세19"/>
      <sheetName val="판관비_명세19"/>
      <sheetName val="OH_Cost경비(내역)19"/>
      <sheetName val="OH_Cost경비(배부기준)19"/>
      <sheetName val="기타수지&amp;특별손익_명세19"/>
      <sheetName val="업무연락_(2)18"/>
      <sheetName val="제시_손익계산서18"/>
      <sheetName val="01_02월_성과급19"/>
      <sheetName val="M_7회차_담금_계획18"/>
      <sheetName val="팀별_실적18"/>
      <sheetName val="팀별_실적_(환산)18"/>
      <sheetName val="4__Inj_투자상세내역18"/>
      <sheetName val="3__Blow_투자_상세내역18"/>
      <sheetName val="Process_List18"/>
      <sheetName val="7_(2)18"/>
      <sheetName val="_손익기01_XL17"/>
      <sheetName val="Income_Stmt17"/>
      <sheetName val="drop_down_list17"/>
      <sheetName val="[손익기01_XL_x005f_x0000__x005f_x0000_DePara17"/>
      <sheetName val="[손익기01_XL17"/>
      <sheetName val="Quarterly_LBO_Model17"/>
      <sheetName val="Figures_Report16"/>
      <sheetName val="_손익기01_XL_x005f_x0000__x005f_x0000_DePara17"/>
      <sheetName val="Set_Up17"/>
      <sheetName val="15년_BL_사계17"/>
      <sheetName val="1_종합손익(도급)17"/>
      <sheetName val="1_종합손익(주택,개발)17"/>
      <sheetName val="2_실행예산17"/>
      <sheetName val="2_2과부족17"/>
      <sheetName val="2_3원가절감17"/>
      <sheetName val="8_외주비집행현황17"/>
      <sheetName val="9_자재비17"/>
      <sheetName val="10_현장집행17"/>
      <sheetName val="3_추가원가17"/>
      <sheetName val="3_추가원가_(2)17"/>
      <sheetName val="4_사전공사17"/>
      <sheetName val="5_추정공사비17"/>
      <sheetName val="6_금융비용17"/>
      <sheetName val="7_공사비집행현황(총괄)17"/>
      <sheetName val="11_1생산성17"/>
      <sheetName val="11_2인원산출17"/>
      <sheetName val="Classification_分类16"/>
      <sheetName val="Fare_prices16"/>
      <sheetName val="Hotel_prices16"/>
      <sheetName val="tab_STATUS_DO_PROCESSO_16"/>
      <sheetName val="Perf__Plan__Diário116"/>
      <sheetName val="In_(2)16"/>
      <sheetName val="__한국_AMP_ASP-23_판매가격__16"/>
      <sheetName val="CC_Down_load_071616"/>
      <sheetName val="변경실행(2차)_16"/>
      <sheetName val="나_출고16"/>
      <sheetName val="나_입고16"/>
      <sheetName val="09년_인건비(속리산)16"/>
      <sheetName val="합산목표(감가+57_5)16"/>
      <sheetName val="제조원가_원단위_분석16"/>
      <sheetName val="종합표양식(품의_&amp;_입고)_216"/>
      <sheetName val="원가관리_(동월대비)16"/>
      <sheetName val="b_balju_(2)16"/>
      <sheetName val="2-2_매출분석16"/>
      <sheetName val="몰드시스템_리스트16"/>
      <sheetName val="11_외화채무증권(AFS,HTM)0816"/>
      <sheetName val="13_감액TEST_0816"/>
      <sheetName val="12년_CF(9월)16"/>
      <sheetName val="중기조종사_단위단가16"/>
      <sheetName val="6PILE__(돌출)16"/>
      <sheetName val="기성청구_공문16"/>
      <sheetName val="Sheet1_(2)16"/>
      <sheetName val="CLASIFICACION_DE_AI16"/>
      <sheetName val="Base_da_Datos16"/>
      <sheetName val="slide_24_cat_A16"/>
      <sheetName val="slide_82_cat_b16"/>
      <sheetName val="Dados_dos_Produtos16"/>
      <sheetName val="Base_de_Datos15"/>
      <sheetName val="09~10년_매출계획16"/>
      <sheetName val="1_MDF1공장16"/>
      <sheetName val="Incident_유형구분표16"/>
      <sheetName val="3YP2016-Bottom_up15"/>
      <sheetName val="DD_list16"/>
      <sheetName val="Supply_Cost_Centers15"/>
      <sheetName val="MASTER_APP15"/>
      <sheetName val="Cond__Inseguros15"/>
      <sheetName val="Comp__Inseguros15"/>
      <sheetName val="Lista_de_datos15"/>
      <sheetName val="Clasif_15"/>
      <sheetName val="Farol_Acciones15"/>
      <sheetName val="Lista_de_Entrenamientos15"/>
      <sheetName val="Unidades_SAC-REVENDA16"/>
      <sheetName val="FornecM_Check14"/>
      <sheetName val="2_카드채권(대출포함)15"/>
      <sheetName val="表21_净利润调节表15"/>
      <sheetName val="Lista_CI15"/>
      <sheetName val="Estratificación_AI14"/>
      <sheetName val="condicion_inseguras14"/>
      <sheetName val="Actos_Inseguros14"/>
      <sheetName val="Control_de_incidentes14"/>
      <sheetName val="Plan_de_Acción14"/>
      <sheetName val="_DD_List15"/>
      <sheetName val="Share_Price_200215"/>
      <sheetName val="Issues_List_Payments14"/>
      <sheetName val="[손익기01_XL??DePara14"/>
      <sheetName val="Farol_Metas14"/>
      <sheetName val="Mod_Relac_14"/>
      <sheetName val="Dashboard_Prevención_Riesgos_14"/>
      <sheetName val="TOP_KPIs_MTM14"/>
      <sheetName val="PLAN_DE_ACCION14"/>
      <sheetName val="Faro_de_Indicadores14"/>
      <sheetName val="Grafica_Actos14"/>
      <sheetName val="Condiciones_SyE14"/>
      <sheetName val="REALxMETA_-_CERVEJA16"/>
      <sheetName val="REALxMETA_-_REFRI16"/>
      <sheetName val="BEP_加薪_KPI14"/>
      <sheetName val="Directrices_de_Metas_201714"/>
      <sheetName val="POC_LIST14"/>
      <sheetName val="Entity_Target14"/>
      <sheetName val="_손익기01_XL_x005f_x005f_x005f_x0000__x005f_x005f_14"/>
      <sheetName val="Hazards_Analysis-隐患分析14"/>
      <sheetName val="F08_-_Asia_Pac_Full_Year_Q315"/>
      <sheetName val="Top_Priorities15"/>
      <sheetName val="Listco_Stock15"/>
      <sheetName val="Intl_Purchase15"/>
      <sheetName val="FY_outlook15"/>
      <sheetName val="CY_outlook15"/>
      <sheetName val="Cash_metrics15"/>
      <sheetName val="P6_715"/>
      <sheetName val="DATOS_BASE14"/>
      <sheetName val="97_사업추정(WEKI)14"/>
      <sheetName val="Tong_hop14"/>
      <sheetName val="95_1_1이후취득자산(숨기기상태)14"/>
      <sheetName val="sum1_(2)14"/>
      <sheetName val="3_바닥판설계14"/>
      <sheetName val="6월_공정외주14"/>
      <sheetName val="2_대외공문14"/>
      <sheetName val="2_총괄표14"/>
      <sheetName val="입출재고현황_(2)14"/>
      <sheetName val="504전기실_동부하-L14"/>
      <sheetName val="OUTER_AREA(겹침없음)14"/>
      <sheetName val="EL_표면적14"/>
      <sheetName val="TRE_TABLE14"/>
      <sheetName val="입찰내역_발주처_양식14"/>
      <sheetName val="do_not_delete14"/>
      <sheetName val="Check_Qualidade12"/>
      <sheetName val="De_Para13"/>
      <sheetName val="DETALLE_MENSUAL14"/>
      <sheetName val="SKU_Basic_Data14"/>
      <sheetName val="ACTOS_POR_RIESGO12"/>
      <sheetName val="Nombre_de_SOP12"/>
      <sheetName val="drop_lists12"/>
      <sheetName val="APAC_S14"/>
      <sheetName val="APAC_N14"/>
      <sheetName val="Slide_output14"/>
      <sheetName val="turnover_reason퇴직사유14"/>
      <sheetName val="Data_validation14"/>
      <sheetName val="Check_Aderencia12"/>
      <sheetName val="Base_Farol12"/>
      <sheetName val="Gerencial_IL12"/>
      <sheetName val="Ventas_Campo12"/>
      <sheetName val="VALIDACION_DE_DATOS13"/>
      <sheetName val="Check_GG12"/>
      <sheetName val="KPIs_Hana12"/>
      <sheetName val="Catalago_de_refacciones_12"/>
      <sheetName val="Existencias_al_07-Nov-201212"/>
      <sheetName val="Drop-down_List13"/>
      <sheetName val="by_DD13"/>
      <sheetName val="Jul-Sep_Actual_cost_(2)13"/>
      <sheetName val="MRL_NON_SUPPLY_URU12"/>
      <sheetName val="2__Indicadores12"/>
      <sheetName val="Ta_12"/>
      <sheetName val="AIIM_-_Empresas_Ext_201212"/>
      <sheetName val="Pauta_RPS_Distribuição11"/>
      <sheetName val="Estoque_(2)11"/>
      <sheetName val="Lista_de_Entrenamientos_RSO12"/>
      <sheetName val="Tablero_SDG15"/>
      <sheetName val="Lista_Areas15"/>
      <sheetName val="One_Page15"/>
      <sheetName val="Sub-Productos_HN13"/>
      <sheetName val="Eficiencia_linea12"/>
      <sheetName val="_손익기01_XL_x005f_x0000__x012"/>
      <sheetName val="부재료_비교(11년_vs_10년)12"/>
      <sheetName val="_mngt_Pillar12"/>
      <sheetName val="Sheet3_(2)12"/>
      <sheetName val="Lao_&amp;_Cam12"/>
      <sheetName val="Hoegaarden_201912"/>
      <sheetName val="Lao_&amp;_Cam_201912"/>
      <sheetName val="Malaysia_201912"/>
      <sheetName val="Singapore_201912"/>
      <sheetName val="Sheet2_(2)12"/>
      <sheetName val="요일_테이블_12"/>
      <sheetName val="Other_Listings12"/>
      <sheetName val="Comp_Inseguros11"/>
      <sheetName val="BNR_2012_в_ящике11"/>
      <sheetName val="FX_Rates10"/>
      <sheetName val="DATOS_DE_VALIDACIÓN11"/>
      <sheetName val="Datos_con11"/>
      <sheetName val="_Datos_Cond_11"/>
      <sheetName val="INGRESO_(2)11"/>
      <sheetName val="PG-K1610_(UEN_Areas)MNG11"/>
      <sheetName val="DATOS_GEN_11"/>
      <sheetName val="NUEVOS_CRITERIOS11"/>
      <sheetName val="Condiciones_Agua11"/>
      <sheetName val="DO_NOT_MOVE11"/>
      <sheetName val="Vagas_x_Candidatos10"/>
      <sheetName val="__한국_AMP_ASP-23_판㧤가격__10"/>
      <sheetName val="11_䡸화채무줝ⴌ(AFS,HTM)0810"/>
      <sheetName val="Drop_list10"/>
      <sheetName val="Dropdown_list10"/>
      <sheetName val="Análise_Tempos7"/>
      <sheetName val="Proced_10"/>
      <sheetName val="Cut_Machine_Summary10"/>
      <sheetName val="Control_de_Fallas10"/>
      <sheetName val="Setup_for_Templates10"/>
      <sheetName val="Datos_emp10"/>
      <sheetName val="Validation_lists10"/>
      <sheetName val="Validação_de_Dados7"/>
      <sheetName val="Lista_de_Motivos7"/>
      <sheetName val="Ponto_Crítico_-_Resp__Plano7"/>
      <sheetName val="Lista_Funcionários_(2)7"/>
      <sheetName val="TIPO_DE_ACTO10"/>
      <sheetName val="Razão_Social4"/>
      <sheetName val="No_llenar_7"/>
      <sheetName val="CRITICIDAD_DE_CI10"/>
      <sheetName val="Catálogo_de_CI10"/>
      <sheetName val="%_CUMPLIMIENTO10"/>
      <sheetName val="%_cumplimiento_10"/>
      <sheetName val="CALIFICACIONES_20198"/>
      <sheetName val="Lev_4_360_deg_check_Crit_Task8"/>
      <sheetName val="Lev_4_Chk_IC_Stock_Crit_Task8"/>
      <sheetName val="Lev_4_WMS_Putaway_Crit_Task8"/>
      <sheetName val="PAINEL_RECOLHA_CRÉDITO7"/>
      <sheetName val="Gráficos_-_CDD7"/>
      <sheetName val="Listas_y_equipos_a_evaluar10"/>
      <sheetName val="Data_Reporte10"/>
      <sheetName val="Read_me10"/>
      <sheetName val="PDA_BOP7"/>
      <sheetName val="Daily_Dashboard10"/>
      <sheetName val="Champions_List9"/>
      <sheetName val="NAZ_Strategy8"/>
      <sheetName val="Incentivo_Automóvil7"/>
      <sheetName val="Mapeo_SKUs10"/>
      <sheetName val="Vol_(Ds)10"/>
      <sheetName val="Vol_(Ka)10"/>
      <sheetName val="Vol_(Oth)10"/>
      <sheetName val="Vol_(Oth)_Cortesias10"/>
      <sheetName val="INPUT-Cust_Sugg_Margin(Ds)10"/>
      <sheetName val="On_Invoice10"/>
      <sheetName val="INPUT-Cust_Sugg_Margin(Ka)10"/>
      <sheetName val="INPUT_SKUs10"/>
      <sheetName val="Brand_P&amp;L8"/>
      <sheetName val="SUPERMONT_P8"/>
      <sheetName val="Data_selection8"/>
      <sheetName val="1_8"/>
      <sheetName val="Customer_&amp;_SO8"/>
      <sheetName val="Session_Proposal8"/>
      <sheetName val="Status_de_Usuario5"/>
      <sheetName val="Listas_desplegables5"/>
      <sheetName val="Resumen_General5"/>
      <sheetName val="Cátalogo_de_CI5"/>
      <sheetName val="Hoja2_(2)5"/>
      <sheetName val="Technology_check_list5"/>
      <sheetName val="Actos_y_Condiciones_5"/>
      <sheetName val="NO_BORRAR5"/>
      <sheetName val="PROCESS_MD7"/>
      <sheetName val="Dropdown_Menu6"/>
      <sheetName val="Project_List6"/>
      <sheetName val="Выпадающие_списки6"/>
      <sheetName val="유류대_현황5"/>
      <sheetName val="2_3_Projects_Status5"/>
      <sheetName val="mapping_(2)5"/>
      <sheetName val="Ref_5"/>
      <sheetName val="SOP_Freshness5"/>
      <sheetName val="Formato_checklist_Lab5"/>
      <sheetName val="1__템플릿5"/>
      <sheetName val="2__작성_참고사항5"/>
      <sheetName val="Master_Data5"/>
      <sheetName val="Consolidated_Project_List5"/>
      <sheetName val="Fixed_Cost5"/>
      <sheetName val="Dimension_IN_Sheet1!D19125"/>
      <sheetName val="Dimension_IN_19125"/>
      <sheetName val="Manage_to_Sustain4"/>
      <sheetName val="Packages_Info4"/>
      <sheetName val="Meeting_List4"/>
      <sheetName val="FILIAL_MINAS4"/>
      <sheetName val="3__Training_&amp;_travel5"/>
      <sheetName val="2020_MMR124"/>
      <sheetName val="입문_트랜드(종합분석)4"/>
      <sheetName val="Master_CE4"/>
      <sheetName val="CE_Final_4"/>
      <sheetName val="OL_LIST4"/>
      <sheetName val="YTD_GUEST_LIST4"/>
      <sheetName val="Session_Full_list4"/>
      <sheetName val="FOOD_PAYMENT_update_JAN4"/>
      <sheetName val="Rate_card_F19_4"/>
      <sheetName val="Master_Plan__(update)4"/>
      <sheetName val="The_KPI_4"/>
      <sheetName val="Mentor_Plan_4"/>
      <sheetName val="Master_Plan_4"/>
      <sheetName val="Tier_1_GOV_PC_Networking_4"/>
      <sheetName val="Tier_1_LBO_4"/>
      <sheetName val="Preferred_Option4"/>
      <sheetName val="_손익기01_XL_x005f_x0000__x005f_x005f_x04"/>
      <sheetName val="info_for_drop_box4"/>
      <sheetName val="KPIs-_TTP,_PTP,_People_Turnove4"/>
      <sheetName val="1월_목표4"/>
      <sheetName val="POCM_배송지4"/>
      <sheetName val="Mapping_2"/>
      <sheetName val="WS_DB2"/>
      <sheetName val="Region_2"/>
      <sheetName val="SKU_DB2"/>
      <sheetName val="SAP_info2"/>
      <sheetName val="Target_Book2"/>
      <sheetName val="10_麦汁CIP清洗标准水量2"/>
      <sheetName val="Lista_AI2"/>
      <sheetName val="데이터_유효성_목록2"/>
      <sheetName val="Ref_New_Contract_Model2"/>
      <sheetName val="Name_List2"/>
      <sheetName val="Back_Data_14"/>
      <sheetName val="2_주요계수총괄4"/>
      <sheetName val="외주현황_wq13"/>
      <sheetName val="P_M_별5"/>
      <sheetName val="대투_보관자료_변경3"/>
      <sheetName val="Project_Brief4"/>
      <sheetName val="단면_(2)4"/>
      <sheetName val="부대시행1_(2)3"/>
      <sheetName val="1_차입금3"/>
      <sheetName val="근거_및_가정3"/>
      <sheetName val="118_세금과공과4"/>
      <sheetName val="_견적서3"/>
      <sheetName val="Facility_Information4"/>
      <sheetName val="1_본사계정별4"/>
      <sheetName val="3_6_2남양주택배3"/>
      <sheetName val="해외_기술훈련비_(합계)4"/>
      <sheetName val="설산1_나3"/>
      <sheetName val="PAD_TR보호대기초3"/>
      <sheetName val="1월_예산3"/>
      <sheetName val="Utility_Usage_YTN_TOWER3"/>
      <sheetName val="1__시공측량3"/>
      <sheetName val="수종별수량_(2)3"/>
      <sheetName val="전선_및_전선관3"/>
      <sheetName val="설문_평가3"/>
      <sheetName val="B-1_기본정보3"/>
      <sheetName val="납부내역총괄표_(수정)3"/>
      <sheetName val="#1)_투자_구분3"/>
      <sheetName val="Rev__Recon_12"/>
      <sheetName val="1_고객불만건수2"/>
      <sheetName val="1_변경범위2"/>
      <sheetName val="Weekly_Progress(계장)3"/>
      <sheetName val="2013_2월_연결대상3"/>
      <sheetName val="2-2_투자3"/>
      <sheetName val="Proj__Fin_3"/>
      <sheetName val="ITS_Assumptions2"/>
      <sheetName val="7_Utility_Analysis2"/>
      <sheetName val="Operational_Activities2"/>
      <sheetName val="13_포장용역비표준3"/>
      <sheetName val="9_가공부자재표준3"/>
      <sheetName val="8_ROLL표준(TSW)3"/>
      <sheetName val="4_톤당조관량표준3"/>
      <sheetName val="5_조관부자재표준3"/>
      <sheetName val="KEY_CODE3"/>
      <sheetName val="2-1_강사료,교통비_지급명세3"/>
      <sheetName val="HQ_급여_2"/>
      <sheetName val="OF_급여2"/>
      <sheetName val="F_Ma급여2"/>
      <sheetName val="SMT_급여2"/>
      <sheetName val="QC_급여2"/>
      <sheetName val="Sam_sung_급여2"/>
      <sheetName val="Dlock_급여2"/>
      <sheetName val="_thôi_việc_급여2"/>
      <sheetName val="Công_smt2"/>
      <sheetName val="Công_smt_(2)2"/>
      <sheetName val="Detail_smt2"/>
      <sheetName val="Công_QC2"/>
      <sheetName val="Detail_QC_2"/>
      <sheetName val="Công_SS2"/>
      <sheetName val="Detail_SS2"/>
      <sheetName val="Công_FMa2"/>
      <sheetName val="Detail_FMa2"/>
      <sheetName val="Công_OF2"/>
      <sheetName val="Detail_OF2"/>
      <sheetName val="Công_Dlock2"/>
      <sheetName val="Detail_Dlock2"/>
      <sheetName val="Công_thôi_việc2"/>
      <sheetName val="Detail_thôi2"/>
      <sheetName val="C1_3_12"/>
      <sheetName val="실행기성_갑지3"/>
      <sheetName val="Eq__Mobilization2"/>
      <sheetName val="1__작성방식2"/>
      <sheetName val="표)CFT장_조직별_배분2"/>
      <sheetName val="20180214_P&amp;T2"/>
      <sheetName val="Ref__중점_추진_과제별_상세2"/>
      <sheetName val="2_6_三无_(2)2"/>
      <sheetName val="수량산출서_갑지2"/>
      <sheetName val="G_R300경비2"/>
      <sheetName val="AS포장복구_2"/>
      <sheetName val="설_계2"/>
      <sheetName val="Worker_List2"/>
      <sheetName val="GB-IC_Villingen_GG2"/>
      <sheetName val="6월_공嚺㓶가2"/>
      <sheetName val="Exchange_rate2"/>
      <sheetName val="업무_분류(Category)2"/>
      <sheetName val="준검_내역서2"/>
      <sheetName val="날개수량1_52"/>
      <sheetName val="F_월별기성수금현황_2"/>
      <sheetName val="기초정보_코드2"/>
      <sheetName val="#1_Basic2"/>
      <sheetName val="첨부#2_Cash_Flow(현장작성)2"/>
      <sheetName val="3_일반사상2"/>
      <sheetName val="Bank_code2"/>
      <sheetName val="Drop-down_RAW2"/>
      <sheetName val="산자사_운전용품2"/>
      <sheetName val="보고서_표2"/>
      <sheetName val="0__가정_및_결론2"/>
      <sheetName val="1__투자비2"/>
      <sheetName val="2__Rent-roll2"/>
      <sheetName val="3__Funding2"/>
      <sheetName val="4__운영수익2"/>
      <sheetName val="5__운영비용2"/>
      <sheetName val="6_1_N+1년차_NOI_산정2"/>
      <sheetName val="6__부동산매각2"/>
      <sheetName val="7__보유세2"/>
      <sheetName val="8__교통유발부담금2"/>
      <sheetName val="9__BS부속2"/>
      <sheetName val="10__CF(M)2"/>
      <sheetName val="11__IS(M)2"/>
      <sheetName val="12__BS(M)2"/>
      <sheetName val="14__IS(FY)2"/>
      <sheetName val="13__CF(FY)2"/>
      <sheetName val="15__BS(FY)2"/>
      <sheetName val="16__RE(FY)2"/>
      <sheetName val="4_1_월별_에너지_사용량2"/>
      <sheetName val="조도계산서_(도서)2"/>
      <sheetName val="A(Rev_3)2"/>
      <sheetName val="STRAT_PLAN_WKSHT3"/>
      <sheetName val="Sales_Plan_&amp;_other3"/>
      <sheetName val="drop_downs2"/>
      <sheetName val="Basic_Information2"/>
      <sheetName val="7300-1000_113"/>
      <sheetName val="PJT_현황2"/>
      <sheetName val="진행_DATA_(2)2"/>
      <sheetName val="참고)_기준정보2"/>
      <sheetName val="Long_Term_Prices2"/>
      <sheetName val="구분_Table2"/>
      <sheetName val="역T형옹벽(3_0)2"/>
      <sheetName val="외상매출금현황-수정분_A22"/>
      <sheetName val="PF_현황(11년12월)2"/>
      <sheetName val="_손익기01_XL__DePara11"/>
      <sheetName val="_2"/>
      <sheetName val="입찰내역_Ĉ2"/>
      <sheetName val="Q4_20182"/>
      <sheetName val="Q4_20192"/>
      <sheetName val="Q4_Sum2"/>
      <sheetName val="2020_KPI_LE02"/>
      <sheetName val="match_list2"/>
      <sheetName val="Rate_data2"/>
      <sheetName val="Curva_20212"/>
      <sheetName val="Por_PPR3"/>
      <sheetName val="Template_HN2"/>
      <sheetName val="Resumen_(hL_env)2"/>
      <sheetName val="KPI_need_to_input2"/>
      <sheetName val="강남_CRM_11월2"/>
      <sheetName val="Nigeria_&amp;_Ghana2"/>
      <sheetName val="Manual_Database1"/>
      <sheetName val="_손익기01_XL_x005f_x005f_x002"/>
      <sheetName val="DEX_(2)1"/>
      <sheetName val="TR__KHCode1"/>
      <sheetName val="NDD_CPT1"/>
      <sheetName val="_折扣项_PromotionPlan1"/>
      <sheetName val="Lista_d2"/>
      <sheetName val="Catalogo_Cursos1"/>
      <sheetName val="Catalogo_Cursos_1"/>
      <sheetName val="Check_People1"/>
      <sheetName val="AVANCE_PROGRAMACION1"/>
      <sheetName val="Cumplimiento_por_Entrenamiento1"/>
      <sheetName val="Cumplimiento_del_Plan_por_área1"/>
      <sheetName val="CAPTURA_ENE_MAY1"/>
      <sheetName val="tablas_cuadrillas1"/>
      <sheetName val="Base_de_Datos_de_Activos_1"/>
      <sheetName val="PIVOT_ADHERENCIA1"/>
      <sheetName val="Steps_of_Committe_1"/>
      <sheetName val="IC's_(2)1"/>
      <sheetName val="Participación_en_entrenamie_(21"/>
      <sheetName val="Detalle_para_correctivo_excep_2"/>
      <sheetName val="Puerto_Rico2"/>
      <sheetName val="AI_OYS_Acum2"/>
      <sheetName val="Boletas_Condiciones2"/>
      <sheetName val="1_13"/>
      <sheetName val="1_23"/>
      <sheetName val="2_1-Pareto2"/>
      <sheetName val="Datos_Mensuales2"/>
      <sheetName val="Indicador_EE_Mensual2"/>
      <sheetName val="Plan_de_Acción_MAZ1"/>
      <sheetName val="DIAGEO_VENTURE"/>
      <sheetName val="MAESTRO_CODIGOS"/>
      <sheetName val="Por_regional"/>
      <sheetName val="Por_Proveedor"/>
      <sheetName val="X_Categoria"/>
      <sheetName val="Por_Vendedor"/>
      <sheetName val="Por_Mayoristas"/>
      <sheetName val="Por_Cliente"/>
      <sheetName val="Por_producto"/>
      <sheetName val="Por_producto_cant_"/>
      <sheetName val="Por_producto_cant__(2)"/>
      <sheetName val="Por_Vendedor_X_Ciudad"/>
      <sheetName val="Act_por_cliente"/>
      <sheetName val="Act_por_Proveedor"/>
      <sheetName val="Act_por_producto"/>
      <sheetName val="Tipo_Viaje3"/>
      <sheetName val="Flota_y_Personal3"/>
      <sheetName val="COE_Scope_-_Strategic_Projects3"/>
      <sheetName val="SEGUIMIENTO_SEMANAL3"/>
      <sheetName val="TO_TTZ3"/>
      <sheetName val="CATÁLOGO_DE_PELIGROS3"/>
      <sheetName val="RyNV_detectados_3"/>
      <sheetName val="CRITERIOS_DE_AI3"/>
      <sheetName val="Probability_and_Consequence"/>
      <sheetName val="Total_marcas"/>
      <sheetName val="Fase_1"/>
      <sheetName val="Fase_2"/>
      <sheetName val="Fase_3"/>
      <sheetName val="陈列标准"/>
      <sheetName val="Tabelle1"/>
      <sheetName val="FAB별"/>
      <sheetName val="Project Count"/>
      <sheetName val="Index1"/>
      <sheetName val="M&amp;Q Lead"/>
      <sheetName val="$bhp"/>
      <sheetName val="업무분장 "/>
      <sheetName val="간접비차이_PJT"/>
      <sheetName val="견적 맵"/>
      <sheetName val="회사전체"/>
      <sheetName val="TOWER 12TON"/>
      <sheetName val="TOWER 10TON"/>
      <sheetName val="JIB CRANE,HOIST"/>
      <sheetName val="견적을지"/>
      <sheetName val="부산제일극장"/>
      <sheetName val="Diesel Price "/>
      <sheetName val="외부자료"/>
      <sheetName val="Sheet475"/>
      <sheetName val="미계약2"/>
      <sheetName val="일위대가(목록)"/>
      <sheetName val="재료비"/>
      <sheetName val="견적내역서"/>
      <sheetName val="1TL종점(1)"/>
      <sheetName val="전기요금 산출내역"/>
      <sheetName val="노원열병합  건축공사기성내역서"/>
      <sheetName val="대환취급"/>
      <sheetName val="문의내용 카테고리 분류(수정X)"/>
      <sheetName val="연체리스료"/>
      <sheetName val="Phieu trinh ky cấu tháp"/>
      <sheetName val="Phieu trinh ky VTP"/>
      <sheetName val="KS-VTP"/>
      <sheetName val="KS-VL rời"/>
      <sheetName val="BCCP"/>
      <sheetName val="Tai san"/>
      <sheetName val="Check dong tien"/>
      <sheetName val="Chi phí SDTS"/>
      <sheetName val="Check COST"/>
      <sheetName val="KHTC"/>
      <sheetName val="DATA HD"/>
      <sheetName val="THNC"/>
      <sheetName val="NC"/>
      <sheetName val="2TM"/>
      <sheetName val="1TM"/>
      <sheetName val="Tong hop 1TM"/>
      <sheetName val="WBS"/>
      <sheetName val="DMKH"/>
      <sheetName val="NS Lán trại"/>
      <sheetName val="Check cong no NC"/>
      <sheetName val="갑지1"/>
      <sheetName val="일위대가목차"/>
      <sheetName val="시험장S자로가로등공사"/>
      <sheetName val="Sheet17"/>
      <sheetName val="설비등록׃⼫"/>
      <sheetName val="설비등록_x0010__x0000_"/>
      <sheetName val="(참조)"/>
      <sheetName val="Investment Category"/>
      <sheetName val="기본일위"/>
      <sheetName val="Mot So Thuat Ngu EN-VI"/>
      <sheetName val="기성현황집계표"/>
      <sheetName val="_x005f_x005f_x005f_x0018__x005f_x005f_x005f_x0000_"/>
      <sheetName val="_x005f_x0018_?"/>
      <sheetName val="집계"/>
      <sheetName val="Mot_So_Thuat_Ngu_EN-VI"/>
      <sheetName val="시스템 개요 유효값"/>
      <sheetName val="관리자"/>
      <sheetName val="이자"/>
      <sheetName val="NG Item"/>
      <sheetName val="Ref. Spec Review 양식"/>
      <sheetName val="Ref. 시험항목 테이블"/>
      <sheetName val="Ref. Search Result 테이블"/>
      <sheetName val="견적서"/>
      <sheetName val="월간공정표(04월))"/>
      <sheetName val="20년 동일기간 소테마"/>
      <sheetName val="6호기"/>
      <sheetName val="control sheet"/>
      <sheetName val="비품"/>
      <sheetName val="원재료"/>
      <sheetName val="대구은행"/>
      <sheetName val="사업단위"/>
      <sheetName val="JT3.0견적-구1"/>
      <sheetName val="Dropbox 목록"/>
      <sheetName val="001"/>
      <sheetName val="1711월"/>
      <sheetName val="gr_val"/>
      <sheetName val="gr_sum"/>
      <sheetName val="협가표"/>
      <sheetName val="SPT vs PHI"/>
      <sheetName val="BATCH"/>
      <sheetName val="1-1"/>
      <sheetName val="wall"/>
      <sheetName val="FORM4"/>
      <sheetName val="FORM1"/>
      <sheetName val="FORM2"/>
      <sheetName val="FORM3"/>
      <sheetName val="FORM5"/>
      <sheetName val="FORM10"/>
      <sheetName val="FORM15"/>
      <sheetName val="FORM16"/>
      <sheetName val="공통부대비"/>
      <sheetName val="수량산출서 (2)"/>
      <sheetName val="1.수인터널"/>
      <sheetName val="산출"/>
      <sheetName val="지장물C"/>
      <sheetName val="1-2.설계변경요청서(갑지)"/>
      <sheetName val="사유집계"/>
      <sheetName val="설계변경내역서(주차관제)"/>
      <sheetName val="증감사유"/>
      <sheetName val="첨부1.(주차관제-.당공)"/>
      <sheetName val="첨부1-1.설계변경내역서(CCTV)"/>
      <sheetName val="첨부1-2.(주차관제-변공)"/>
      <sheetName val="2-6.변공량(추가공사)"/>
      <sheetName val=" 2-1.관제(물량산출서집계표)"/>
      <sheetName val=" 2-2.유도(물량산출서집계표)"/>
      <sheetName val="물량산출서(총괄)"/>
      <sheetName val="3-1.주차관제"/>
      <sheetName val="3-2.주차-광케이블"/>
      <sheetName val="3-3.층별LPR"/>
      <sheetName val="4-1.유도-광케이블"/>
      <sheetName val="4-2.주차키오스크"/>
      <sheetName val="4-3.4면카메라"/>
      <sheetName val="4-5.CCTV"/>
      <sheetName val="4-6.블럭유도등"/>
      <sheetName val="4-7.입구만차등"/>
      <sheetName val="4-8.비상벨"/>
      <sheetName val="가설공사내역"/>
      <sheetName val="401"/>
      <sheetName val="아산추가1220"/>
      <sheetName val="7_공사비집_x0000__x0000_Ā_x0000__x0005__x0000_翸_x0000_"/>
      <sheetName val="_x005f_x0018__"/>
      <sheetName val="1공구산출내역서"/>
      <sheetName val="기성"/>
      <sheetName val="BQ"/>
      <sheetName val="Basic"/>
      <sheetName val="교량하부공"/>
      <sheetName val="1~9 하중계산"/>
      <sheetName val="정공공사"/>
      <sheetName val="날개벽수량표"/>
      <sheetName val="기초단가"/>
      <sheetName val="파일의이용"/>
      <sheetName val="BSD (2)"/>
      <sheetName val="유리단가"/>
      <sheetName val="증감대비"/>
      <sheetName val="공종단가"/>
      <sheetName val="설비등록"/>
      <sheetName val="총괄집계표"/>
      <sheetName val="합계표"/>
      <sheetName val="_x005f_x0000___x0000__x0000__x0005__x0000_㴐ኰ"/>
      <sheetName val="_x005f_x0000___x0000__x0000__x0005__x0000_움ᕕ"/>
      <sheetName val="2_실행ﶻĉ_x0000_"/>
      <sheetName val="2_실행䔭疖꜀"/>
      <sheetName val="2_실행ﶻ_x001e__x0000_"/>
      <sheetName val="공통비_x0000__x0000_ʯ"/>
      <sheetName val="공통비_x0000_í遘̩"/>
      <sheetName val="이름표"/>
      <sheetName val="Asset9809CAK"/>
      <sheetName val="SS20"/>
      <sheetName val="SS10"/>
      <sheetName val="OUTER_A՜_x0000_缀_x0000__x0000__x0000_尀빙끯"/>
      <sheetName val="부대공사총괄"/>
      <sheetName val="건축공사집계표"/>
      <sheetName val="방배동내역 (총괄)"/>
      <sheetName val="날개벽(시점좌측)"/>
      <sheetName val="철거산출근거"/>
      <sheetName val="01_02월_성B_x0000_"/>
      <sheetName val="부대내역"/>
      <sheetName val="C1ㅇ"/>
      <sheetName val="단가조정"/>
      <sheetName val="나_출_x0000__x0000_"/>
      <sheetName val="1_수인터널"/>
      <sheetName val="工완성공사율"/>
      <sheetName val="운반"/>
      <sheetName val="항목(1)"/>
      <sheetName val="BOOK4"/>
      <sheetName val="건축갑지"/>
      <sheetName val="건축내역서"/>
      <sheetName val="견적보고서"/>
      <sheetName val="NKC (final)"/>
      <sheetName val="자판실행"/>
      <sheetName val="_x005f_x0000_"/>
      <sheetName val="기타수지&amp;특별손익_ﹴÕ"/>
      <sheetName val="NCR_HEC_6 Opens"/>
      <sheetName val="NCR_HEC_4 Open &amp; Vendor_2 Opens"/>
      <sheetName val="Planilha_relts??eos7"/>
      <sheetName val="master(ZH)"/>
      <sheetName val="무형자산 LS11"/>
      <sheetName val="Global"/>
      <sheetName val="OH _x000f__x0000__x000c__x0000__x0006__x0000__x0005__x0000__x000c__x0000_"/>
      <sheetName val="_x0000__x0004__x0000__x0002__x0000__x0002__x0000__x0005__x0000__x0008__x0000_"/>
      <sheetName val="ࠀ฀က฀Ԁ"/>
      <sheetName val="OH _x000f_"/>
      <sheetName val="2.FM Fee_2차년도"/>
      <sheetName val="3.감가장비"/>
      <sheetName val="main"/>
      <sheetName val="지급어음"/>
      <sheetName val="중속정보"/>
      <sheetName val="실행예산SHEET도장재검토"/>
      <sheetName val="0901"/>
      <sheetName val="식문화"/>
      <sheetName val="SRS 월별 BS"/>
      <sheetName val="SRS"/>
      <sheetName val="중기매출"/>
      <sheetName val="제조비(신청)"/>
      <sheetName val="경쟁사생산량추이"/>
      <sheetName val="12매출실적Copy"/>
      <sheetName val="매출액"/>
      <sheetName val="경영현황"/>
      <sheetName val="4월실적"/>
      <sheetName val="C"/>
      <sheetName val="평가&amp;선급.미지급"/>
      <sheetName val="지질조사"/>
      <sheetName val="07년10~12월"/>
      <sheetName val="EXC IND"/>
      <sheetName val="SRS_월별_BS"/>
      <sheetName val="평가&amp;선급_미지급"/>
      <sheetName val="COLOR별 인쇄"/>
      <sheetName val="일정표"/>
      <sheetName val="FED"/>
      <sheetName val="급여인상효과-연간부담분"/>
      <sheetName val="Sheet16"/>
      <sheetName val="국내_x0000__x0000_"/>
      <sheetName val="개발계획수립"/>
      <sheetName val="건축"/>
      <sheetName val="산근(목록)"/>
      <sheetName val="심사계산"/>
      <sheetName val="변수"/>
      <sheetName val="심사물량"/>
      <sheetName val="입력"/>
      <sheetName val="노임단"/>
      <sheetName val="단위수량"/>
      <sheetName val="예측단가간지"/>
      <sheetName val="환경일위대가"/>
      <sheetName val="1~69"/>
      <sheetName val="01_건설공사_투입인원수_산정"/>
      <sheetName val="운반공"/>
      <sheetName val="이형관중량"/>
      <sheetName val="일위목록"/>
      <sheetName val="자재단"/>
      <sheetName val="장비단"/>
      <sheetName val="고시단가"/>
      <sheetName val="지구단위계획"/>
      <sheetName val="단위모델"/>
      <sheetName val="_Cash_Flow(자_x0000__x0000_"/>
      <sheetName val="23기-3분기결산PL"/>
      <sheetName val="SAP_Role"/>
      <sheetName val="cctr"/>
      <sheetName val="계정_H100"/>
      <sheetName val="계정_1000"/>
      <sheetName val="계정_7000"/>
      <sheetName val="계정_8000"/>
      <sheetName val="AP_H100"/>
      <sheetName val="AP_1000"/>
      <sheetName val="AP_7000"/>
      <sheetName val="AP_8000"/>
      <sheetName val="Menu_Link"/>
      <sheetName val="단기대여금"/>
      <sheetName val="장기대여금"/>
      <sheetName val="Sensitivity and GC Value"/>
      <sheetName val="B05"/>
      <sheetName val="B07"/>
      <sheetName val="A02"/>
      <sheetName val="A04"/>
      <sheetName val="A13"/>
      <sheetName val="B08"/>
      <sheetName val="B10"/>
      <sheetName val="오스피셔스제사차"/>
      <sheetName val="공종별집계"/>
      <sheetName val="7_공사비집"/>
      <sheetName val="지역개발"/>
      <sheetName val="91"/>
      <sheetName val="생산1-2"/>
      <sheetName val="생산1-1"/>
      <sheetName val="매출계획"/>
      <sheetName val="품의서개정(갑)"/>
      <sheetName val="10.예산 및 원가 계획(02년)"/>
      <sheetName val="辅助页"/>
      <sheetName val="2021"/>
      <sheetName val="TARGETS BY MONTH"/>
      <sheetName val="2021 Customer Targets By Month"/>
      <sheetName val="Customer Data"/>
      <sheetName val="Total Sales"/>
      <sheetName val="Jan'21"/>
      <sheetName val="Mar'21"/>
      <sheetName val="April'21"/>
      <sheetName val="April'21 (2)"/>
      <sheetName val="May'21"/>
      <sheetName val="NEW"/>
      <sheetName val="JUNE"/>
      <sheetName val="July'21"/>
      <sheetName val="August'21"/>
      <sheetName val="September"/>
      <sheetName val="OCTOBER"/>
      <sheetName val="November"/>
      <sheetName val="December"/>
      <sheetName val="Sheet7"/>
      <sheetName val="CLOSED OUT LETS _x0009_"/>
      <sheetName val="Swaziland_Data"/>
      <sheetName val="2019_Cases"/>
      <sheetName val="Standards"/>
      <sheetName val="SEM x area"/>
      <sheetName val="PLANTA"/>
      <sheetName val="8 Bars"/>
      <sheetName val="ubictec"/>
      <sheetName val="LE (VND)"/>
      <sheetName val="_x005f_x0000__"/>
      <sheetName val="공통비"/>
      <sheetName val="OUTER_A՜"/>
      <sheetName val="KPI"/>
      <sheetName val="WGS TOT KA Segmentation"/>
      <sheetName val="WGSK SEGMENTATION"/>
      <sheetName val="WGSK Venue Segment"/>
      <sheetName val="Segment"/>
      <sheetName val="Instr"/>
      <sheetName val="TM"/>
      <sheetName val="Q2"/>
      <sheetName val="Plant assumptions"/>
      <sheetName val="Plant_assumptions"/>
      <sheetName val="Mapeo_SKUs11"/>
      <sheetName val="Vol_(Ds)11"/>
      <sheetName val="Vol_(Ka)11"/>
      <sheetName val="Vol_(Oth)11"/>
      <sheetName val="Vol_(Oth)_Cortesias11"/>
      <sheetName val="INPUT-Cust_Sugg_Margin(Ds)11"/>
      <sheetName val="On_Invoice11"/>
      <sheetName val="INPUT-Cust_Sugg_Margin(Ka)11"/>
      <sheetName val="INPUT_SKUs11"/>
      <sheetName val="SUPERMONT_P9"/>
      <sheetName val="3__Training_&amp;_travel6"/>
      <sheetName val="GH GM"/>
      <sheetName val="FES PM"/>
      <sheetName val="FES GM"/>
      <sheetName val="SATZ GM"/>
      <sheetName val="WGS_TOT_KA_Segmentation"/>
      <sheetName val="WGSK_SEGMENTATION"/>
      <sheetName val="WGSK_Venue_Segment"/>
      <sheetName val="JC_A5_原料＿実績"/>
      <sheetName val="滝グラフ"/>
      <sheetName val="년도기부"/>
      <sheetName val="TO_Data_Base27"/>
      <sheetName val="YTD_Summary26"/>
      <sheetName val="Month_Summary26"/>
      <sheetName val="Trial_Balance_MAY_200926"/>
      <sheetName val="TB_Pivot26"/>
      <sheetName val="total_per_LB_LB226"/>
      <sheetName val="Trial_Balance_Vlookup26"/>
      <sheetName val="Trial_Balance_APRIL_200926"/>
      <sheetName val="Roll_Out_AQ26"/>
      <sheetName val="Evolução_mandamentos26"/>
      <sheetName val="Planilha_resultados25"/>
      <sheetName val="Historico_200325"/>
      <sheetName val="Sig_Cycles_Accts_&amp;_Processes25"/>
      <sheetName val="Fixed_ZBB19"/>
      <sheetName val="E_法规NC19"/>
      <sheetName val="3_ISo_YTD19"/>
      <sheetName val="Données_LMU19"/>
      <sheetName val="Brazil_Sovereign19"/>
      <sheetName val="Base_de_Dados19"/>
      <sheetName val="Resumen_Costo19"/>
      <sheetName val="Extract_Loss19"/>
      <sheetName val="QA_跟踪记录表19"/>
      <sheetName val="5_119"/>
      <sheetName val="material_data19"/>
      <sheetName val="other_data19"/>
      <sheetName val="Dados_BLP19"/>
      <sheetName val="Como_Estamos19"/>
      <sheetName val="RG_Depots19"/>
      <sheetName val="Base_PEF20"/>
      <sheetName val="SKU_Mapping19"/>
      <sheetName val="Drop_Down19"/>
      <sheetName val="Controls_data21"/>
      <sheetName val="Testing_Template_Guidance19"/>
      <sheetName val="Test_Programs19"/>
      <sheetName val="Raw_Data19"/>
      <sheetName val="EBM-2_GHQ19"/>
      <sheetName val="JOB_PROFILE_-_LAS19"/>
      <sheetName val="ARdistr_(2)19"/>
      <sheetName val="Database_(RUR)Mar_YTD19"/>
      <sheetName val="look-up_data18"/>
      <sheetName val="FJJX_Bud_IB18"/>
      <sheetName val="Com_(2PK)18"/>
      <sheetName val="Prd_Hierarchy(产品层级)18"/>
      <sheetName val="Project_Code18"/>
      <sheetName val="요일_테이블19"/>
      <sheetName val="요일_테이블_(2)18"/>
      <sheetName val="전사_PL20"/>
      <sheetName val="자금_제외_PL20"/>
      <sheetName val="자금_PL20"/>
      <sheetName val="전사_BS20"/>
      <sheetName val="자금_제외_BS20"/>
      <sheetName val="자금_BS20"/>
      <sheetName val="BS_계정_설명20"/>
      <sheetName val="_Cash_Flow(전사)20"/>
      <sheetName val="_Cash_Flow(자금제외)20"/>
      <sheetName val="_Cash_Flow(자금)20"/>
      <sheetName val="ROIC_20"/>
      <sheetName val="인건비_명세20"/>
      <sheetName val="판관비_명세20"/>
      <sheetName val="OH_Cost경비(내역)20"/>
      <sheetName val="OH_Cost경비(배부기준)20"/>
      <sheetName val="기타수지&amp;특별손익_명세20"/>
      <sheetName val="업무연락_(2)19"/>
      <sheetName val="제시_손익계산서19"/>
      <sheetName val="01_02월_성과급20"/>
      <sheetName val="M_7회차_담금_계획19"/>
      <sheetName val="팀별_실적19"/>
      <sheetName val="팀별_실적_(환산)19"/>
      <sheetName val="4__Inj_투자상세내역19"/>
      <sheetName val="3__Blow_투자_상세내역19"/>
      <sheetName val="Process_List19"/>
      <sheetName val="7_(2)19"/>
      <sheetName val="Prd_Hierarchy(产品层次)18"/>
      <sheetName val="_손익기01_XL18"/>
      <sheetName val="Income_Stmt18"/>
      <sheetName val="drop_down_list18"/>
      <sheetName val="[손익기01_XL_x005f_x0000__x005f_x0000_DePara18"/>
      <sheetName val="Set_Up18"/>
      <sheetName val="[손익기01_XL18"/>
      <sheetName val="Quarterly_LBO_Model18"/>
      <sheetName val="tab_STATUS_DO_PROCESSO_17"/>
      <sheetName val="CLASIFICACION_DE_AI17"/>
      <sheetName val="Base_da_Datos17"/>
      <sheetName val="_손익기01_XL_x005f_x0000__x005f_x0000_DePara18"/>
      <sheetName val="Perf__Plan__Diário117"/>
      <sheetName val="In_(2)17"/>
      <sheetName val="Classification_分类17"/>
      <sheetName val="15년_BL_사계18"/>
      <sheetName val="1_종합손익(도급)18"/>
      <sheetName val="1_종합손익(주택,개발)18"/>
      <sheetName val="2_실행예산18"/>
      <sheetName val="2_2과부족18"/>
      <sheetName val="2_3원가절감18"/>
      <sheetName val="8_외주비집행현황18"/>
      <sheetName val="9_자재비18"/>
      <sheetName val="10_현장집행18"/>
      <sheetName val="3_추가원가18"/>
      <sheetName val="3_추가원가_(2)18"/>
      <sheetName val="4_사전공사18"/>
      <sheetName val="5_추정공사비18"/>
      <sheetName val="6_금융비용18"/>
      <sheetName val="7_공사비집행현황(총괄)18"/>
      <sheetName val="11_1생산성18"/>
      <sheetName val="11_2인원산출18"/>
      <sheetName val="Figures_Report17"/>
      <sheetName val="Dados_dos_Produtos17"/>
      <sheetName val="Fare_prices17"/>
      <sheetName val="Hotel_prices17"/>
      <sheetName val="MASTER_APP16"/>
      <sheetName val="Cond__Inseguros16"/>
      <sheetName val="Comp__Inseguros16"/>
      <sheetName val="__한국_AMP_ASP-23_판매가격__17"/>
      <sheetName val="CC_Down_load_071617"/>
      <sheetName val="변경실행(2차)_17"/>
      <sheetName val="나_출고17"/>
      <sheetName val="나_입고17"/>
      <sheetName val="09년_인건비(속리산)17"/>
      <sheetName val="합산목표(감가+57_5)17"/>
      <sheetName val="제조원가_원단위_분석17"/>
      <sheetName val="종합표양식(품의_&amp;_입고)_217"/>
      <sheetName val="원가관리_(동월대비)17"/>
      <sheetName val="b_balju_(2)17"/>
      <sheetName val="2-2_매출분석17"/>
      <sheetName val="몰드시스템_리스트17"/>
      <sheetName val="11_외화채무증권(AFS,HTM)0817"/>
      <sheetName val="13_감액TEST_0817"/>
      <sheetName val="12년_CF(9월)17"/>
      <sheetName val="중기조종사_단위단가17"/>
      <sheetName val="6PILE__(돌출)17"/>
      <sheetName val="기성청구_공문17"/>
      <sheetName val="Sheet1_(2)17"/>
      <sheetName val="slide_24_cat_A17"/>
      <sheetName val="slide_82_cat_b17"/>
      <sheetName val="09~10년_매출계획17"/>
      <sheetName val="1_MDF1공장17"/>
      <sheetName val="Incident_유형구분표17"/>
      <sheetName val="3YP2016-Bottom_up16"/>
      <sheetName val="DD_list17"/>
      <sheetName val="Lista_de_datos16"/>
      <sheetName val="Base_de_Datos16"/>
      <sheetName val="Farol_Acciones16"/>
      <sheetName val="Lista_de_Entrenamientos16"/>
      <sheetName val="Clasif_16"/>
      <sheetName val="Lista_CI16"/>
      <sheetName val="2_카드채권(대출포함)16"/>
      <sheetName val="表21_净利润调节表16"/>
      <sheetName val="Unidades_SAC-REVENDA17"/>
      <sheetName val="FornecM_Check15"/>
      <sheetName val="Supply_Cost_Centers16"/>
      <sheetName val="Faro_de_Indicadores15"/>
      <sheetName val="TOP_KPIs_MTM15"/>
      <sheetName val="PLAN_DE_ACCION15"/>
      <sheetName val="Grafica_Actos15"/>
      <sheetName val="Estratificación_AI15"/>
      <sheetName val="condicion_inseguras15"/>
      <sheetName val="Actos_Inseguros15"/>
      <sheetName val="Control_de_incidentes15"/>
      <sheetName val="Plan_de_Acción15"/>
      <sheetName val="REALxMETA_-_CERVEJA17"/>
      <sheetName val="REALxMETA_-_REFRI17"/>
      <sheetName val="Condiciones_SyE15"/>
      <sheetName val="Share_Price_200216"/>
      <sheetName val="_DD_List16"/>
      <sheetName val="BEP_加薪_KPI15"/>
      <sheetName val="[손익기01_XL??DePara15"/>
      <sheetName val="Farol_Metas15"/>
      <sheetName val="Dashboard_Prevención_Riesgos_15"/>
      <sheetName val="Mod_Relac_15"/>
      <sheetName val="Directrices_de_Metas_201715"/>
      <sheetName val="Issues_List_Payments15"/>
      <sheetName val="DETALLE_MENSUAL15"/>
      <sheetName val="POC_LIST15"/>
      <sheetName val="Entity_Target15"/>
      <sheetName val="Check_Qualidade13"/>
      <sheetName val="do_not_delete15"/>
      <sheetName val="APAC_S15"/>
      <sheetName val="APAC_N15"/>
      <sheetName val="Slide_output15"/>
      <sheetName val="_손익기01_XL_x005f_x005f_x005f_x0000__x005f_x005f_15"/>
      <sheetName val="F08_-_Asia_Pac_Full_Year_Q316"/>
      <sheetName val="Top_Priorities16"/>
      <sheetName val="Listco_Stock16"/>
      <sheetName val="Intl_Purchase16"/>
      <sheetName val="FY_outlook16"/>
      <sheetName val="CY_outlook16"/>
      <sheetName val="Cash_metrics16"/>
      <sheetName val="P6_716"/>
      <sheetName val="DATOS_BASE15"/>
      <sheetName val="Hazards_Analysis-隐患分析15"/>
      <sheetName val="97_사업추정(WEKI)15"/>
      <sheetName val="Tong_hop15"/>
      <sheetName val="95_1_1이후취득자산(숨기기상태)15"/>
      <sheetName val="sum1_(2)15"/>
      <sheetName val="3_바닥판설계15"/>
      <sheetName val="6월_공정외주15"/>
      <sheetName val="2_대외공문15"/>
      <sheetName val="2_총괄표15"/>
      <sheetName val="입출재고현황_(2)15"/>
      <sheetName val="504전기실_동부하-L15"/>
      <sheetName val="OUTER_AREA(겹침없음)15"/>
      <sheetName val="EL_표면적15"/>
      <sheetName val="TRE_TABLE15"/>
      <sheetName val="입찰내역_발주처_양식15"/>
      <sheetName val="turnover_reason퇴직사유15"/>
      <sheetName val="Data_validation15"/>
      <sheetName val="SKU_Basic_Data15"/>
      <sheetName val="Check_Aderencia13"/>
      <sheetName val="De_Para14"/>
      <sheetName val="Ventas_Campo13"/>
      <sheetName val="Base_Farol13"/>
      <sheetName val="Gerencial_IL13"/>
      <sheetName val="VALIDACION_DE_DATOS14"/>
      <sheetName val="KPIs_Hana13"/>
      <sheetName val="Catalago_de_refacciones_13"/>
      <sheetName val="Existencias_al_07-Nov-201213"/>
      <sheetName val="ACTOS_POR_RIESGO13"/>
      <sheetName val="drop_lists13"/>
      <sheetName val="Check_GG13"/>
      <sheetName val="AIIM_-_Empresas_Ext_201213"/>
      <sheetName val="Nombre_de_SOP13"/>
      <sheetName val="Ta_13"/>
      <sheetName val="2__Indicadores13"/>
      <sheetName val="Drop-down_List14"/>
      <sheetName val="by_DD14"/>
      <sheetName val="Jul-Sep_Actual_cost_(2)14"/>
      <sheetName val="MRL_NON_SUPPLY_URU13"/>
      <sheetName val="Lista_de_Entrenamientos_RSO13"/>
      <sheetName val="Tablero_SDG16"/>
      <sheetName val="Lista_Areas16"/>
      <sheetName val="One_Page16"/>
      <sheetName val="Sub-Productos_HN14"/>
      <sheetName val="Eficiencia_linea13"/>
      <sheetName val="_손익기01_XL_x005f_x0000__x013"/>
      <sheetName val="부재료_비교(11년_vs_10년)13"/>
      <sheetName val="_mngt_Pillar13"/>
      <sheetName val="Comp_Inseguros12"/>
      <sheetName val="Pauta_RPS_Distribuição12"/>
      <sheetName val="Estoque_(2)12"/>
      <sheetName val="Sheet3_(2)13"/>
      <sheetName val="Lao_&amp;_Cam13"/>
      <sheetName val="Hoegaarden_201913"/>
      <sheetName val="Lao_&amp;_Cam_201913"/>
      <sheetName val="Malaysia_201913"/>
      <sheetName val="Singapore_201913"/>
      <sheetName val="Sheet2_(2)13"/>
      <sheetName val="요일_테이블_13"/>
      <sheetName val="Other_Listings13"/>
      <sheetName val="BNR_2012_в_ящике12"/>
      <sheetName val="FX_Rates11"/>
      <sheetName val="__한국_AMP_ASP-23_판㧤가격__11"/>
      <sheetName val="11_䡸화채무줝ⴌ(AFS,HTM)0811"/>
      <sheetName val="Drop_list11"/>
      <sheetName val="Vagas_x_Candidatos11"/>
      <sheetName val="DO_NOT_MOVE12"/>
      <sheetName val="DATOS_DE_VALIDACIÓN12"/>
      <sheetName val="Datos_con12"/>
      <sheetName val="_Datos_Cond_12"/>
      <sheetName val="INGRESO_(2)12"/>
      <sheetName val="PG-K1610_(UEN_Areas)MNG12"/>
      <sheetName val="DATOS_GEN_12"/>
      <sheetName val="NUEVOS_CRITERIOS12"/>
      <sheetName val="Condiciones_Agua12"/>
      <sheetName val="Análise_Tempos8"/>
      <sheetName val="Dropdown_list11"/>
      <sheetName val="Proced_11"/>
      <sheetName val="Cut_Machine_Summary11"/>
      <sheetName val="Control_de_Fallas11"/>
      <sheetName val="Setup_for_Templates11"/>
      <sheetName val="Datos_emp11"/>
      <sheetName val="Validation_lists11"/>
      <sheetName val="Validação_de_Dados8"/>
      <sheetName val="Lista_de_Motivos8"/>
      <sheetName val="Ponto_Crítico_-_Resp__Plano8"/>
      <sheetName val="Lista_Funcionários_(2)8"/>
      <sheetName val="No_llenar_8"/>
      <sheetName val="TIPO_DE_ACTO11"/>
      <sheetName val="CRITICIDAD_DE_CI11"/>
      <sheetName val="Catálogo_de_CI11"/>
      <sheetName val="%_CUMPLIMIENTO11"/>
      <sheetName val="%_cumplimiento_11"/>
      <sheetName val="CALIFICACIONES_20199"/>
      <sheetName val="Lev_4_360_deg_check_Crit_Task9"/>
      <sheetName val="Lev_4_Chk_IC_Stock_Crit_Task9"/>
      <sheetName val="Lev_4_WMS_Putaway_Crit_Task9"/>
      <sheetName val="PAINEL_RECOLHA_CRÉDITO8"/>
      <sheetName val="Gráficos_-_CDD8"/>
      <sheetName val="Listas_y_equipos_a_evaluar11"/>
      <sheetName val="Data_Reporte11"/>
      <sheetName val="Read_me11"/>
      <sheetName val="Champions_List10"/>
      <sheetName val="NAZ_Strategy9"/>
      <sheetName val="Razão_Social5"/>
      <sheetName val="Daily_Dashboard11"/>
      <sheetName val="Brand_P&amp;L9"/>
      <sheetName val="Data_selection9"/>
      <sheetName val="1_9"/>
      <sheetName val="Customer_&amp;_SO9"/>
      <sheetName val="Session_Proposal9"/>
      <sheetName val="PDA_BOP8"/>
      <sheetName val="Incentivo_Automóvil8"/>
      <sheetName val="Status_de_Usuario6"/>
      <sheetName val="Listas_desplegables6"/>
      <sheetName val="Resumen_General6"/>
      <sheetName val="Cátalogo_de_CI6"/>
      <sheetName val="Hoja2_(2)6"/>
      <sheetName val="Technology_check_list6"/>
      <sheetName val="Actos_y_Condiciones_6"/>
      <sheetName val="NO_BORRAR6"/>
      <sheetName val="PROCESS_MD8"/>
      <sheetName val="Dropdown_Menu7"/>
      <sheetName val="Project_List7"/>
      <sheetName val="Выпадающие_списки7"/>
      <sheetName val="유류대_현황6"/>
      <sheetName val="2_3_Projects_Status6"/>
      <sheetName val="mapping_(2)6"/>
      <sheetName val="Ref_6"/>
      <sheetName val="SOP_Freshness6"/>
      <sheetName val="Formato_checklist_Lab6"/>
      <sheetName val="1__템플릿6"/>
      <sheetName val="2__작성_참고사항6"/>
      <sheetName val="Master_Data6"/>
      <sheetName val="Consolidated_Project_List6"/>
      <sheetName val="Fixed_Cost6"/>
      <sheetName val="Dimension_IN_Sheet1!D19126"/>
      <sheetName val="Dimension_IN_19126"/>
      <sheetName val="Manage_to_Sustain5"/>
      <sheetName val="Packages_Info5"/>
      <sheetName val="Meeting_List5"/>
      <sheetName val="FILIAL_MINAS5"/>
      <sheetName val="2020_MMR125"/>
      <sheetName val="입문_트랜드(종합분석)5"/>
      <sheetName val="Master_CE5"/>
      <sheetName val="CE_Final_5"/>
      <sheetName val="OL_LIST5"/>
      <sheetName val="YTD_GUEST_LIST5"/>
      <sheetName val="Session_Full_list5"/>
      <sheetName val="FOOD_PAYMENT_update_JAN5"/>
      <sheetName val="Rate_card_F19_5"/>
      <sheetName val="Master_Plan__(update)5"/>
      <sheetName val="The_KPI_5"/>
      <sheetName val="Mentor_Plan_5"/>
      <sheetName val="Master_Plan_5"/>
      <sheetName val="Tier_1_GOV_PC_Networking_5"/>
      <sheetName val="Tier_1_LBO_5"/>
      <sheetName val="Preferred_Option5"/>
      <sheetName val="_손익기01_XL_x005f_x0000__x005f_x005f_x05"/>
      <sheetName val="info_for_drop_box5"/>
      <sheetName val="KPIs-_TTP,_PTP,_People_Turnove5"/>
      <sheetName val="1월_목표5"/>
      <sheetName val="POCM_배송지5"/>
      <sheetName val="Mapping_3"/>
      <sheetName val="WS_DB3"/>
      <sheetName val="Region_3"/>
      <sheetName val="SKU_DB3"/>
      <sheetName val="SAP_info3"/>
      <sheetName val="Target_Book3"/>
      <sheetName val="10_麦汁CIP清洗标准水量3"/>
      <sheetName val="Lista_AI3"/>
      <sheetName val="COE_Scope_-_Strategic_Projects4"/>
      <sheetName val="SEGUIMIENTO_SEMANAL4"/>
      <sheetName val="Tipo_Viaje4"/>
      <sheetName val="Flota_y_Personal4"/>
      <sheetName val="TO_TTZ4"/>
      <sheetName val="CATÁLOGO_DE_PELIGROS4"/>
      <sheetName val="데이터_유효성_목록3"/>
      <sheetName val="Ref_New_Contract_Model3"/>
      <sheetName val="RyNV_detectados_4"/>
      <sheetName val="Curva_20213"/>
      <sheetName val="Por_PPR4"/>
      <sheetName val="Name_List3"/>
      <sheetName val="Back_Data_15"/>
      <sheetName val="2_주요계수총괄5"/>
      <sheetName val="외주현황_wq14"/>
      <sheetName val="P_M_별6"/>
      <sheetName val="대투_보관자료_변경4"/>
      <sheetName val="Project_Brief5"/>
      <sheetName val="단면_(2)5"/>
      <sheetName val="부대시행1_(2)4"/>
      <sheetName val="1_차입금4"/>
      <sheetName val="근거_및_가정4"/>
      <sheetName val="118_세금과공과5"/>
      <sheetName val="_견적서4"/>
      <sheetName val="Facility_Information5"/>
      <sheetName val="1_본사계정별5"/>
      <sheetName val="3_6_2남양주택배4"/>
      <sheetName val="해외_기술훈련비_(합계)5"/>
      <sheetName val="설산1_나4"/>
      <sheetName val="PAD_TR보호대기초4"/>
      <sheetName val="1월_예산4"/>
      <sheetName val="Utility_Usage_YTN_TOWER4"/>
      <sheetName val="1__시공측량4"/>
      <sheetName val="수종별수량_(2)4"/>
      <sheetName val="전선_및_전선관4"/>
      <sheetName val="설문_평가4"/>
      <sheetName val="B-1_기본정보4"/>
      <sheetName val="납부내역총괄표_(수정)4"/>
      <sheetName val="#1)_투자_구분4"/>
      <sheetName val="Rev__Recon_13"/>
      <sheetName val="1_고객불만건수3"/>
      <sheetName val="1_변경범위3"/>
      <sheetName val="Weekly_Progress(계장)4"/>
      <sheetName val="2013_2월_연결대상4"/>
      <sheetName val="2-2_투자4"/>
      <sheetName val="Proj__Fin_4"/>
      <sheetName val="ITS_Assumptions3"/>
      <sheetName val="7_Utility_Analysis3"/>
      <sheetName val="Operational_Activities3"/>
      <sheetName val="13_포장용역비표준4"/>
      <sheetName val="9_가공부자재표준4"/>
      <sheetName val="8_ROLL표준(TSW)4"/>
      <sheetName val="4_톤당조관량표준4"/>
      <sheetName val="5_조관부자재표준4"/>
      <sheetName val="KEY_CODE4"/>
      <sheetName val="2-1_강사료,교통비_지급명세4"/>
      <sheetName val="HQ_급여_3"/>
      <sheetName val="OF_급여3"/>
      <sheetName val="F_Ma급여3"/>
      <sheetName val="SMT_급여3"/>
      <sheetName val="QC_급여3"/>
      <sheetName val="Sam_sung_급여3"/>
      <sheetName val="Dlock_급여3"/>
      <sheetName val="_thôi_việc_급여3"/>
      <sheetName val="Công_smt3"/>
      <sheetName val="Công_smt_(2)3"/>
      <sheetName val="Detail_smt3"/>
      <sheetName val="Công_QC3"/>
      <sheetName val="Detail_QC_3"/>
      <sheetName val="Công_SS3"/>
      <sheetName val="Detail_SS3"/>
      <sheetName val="Công_FMa3"/>
      <sheetName val="Detail_FMa3"/>
      <sheetName val="Công_OF3"/>
      <sheetName val="Detail_OF3"/>
      <sheetName val="Công_Dlock3"/>
      <sheetName val="Detail_Dlock3"/>
      <sheetName val="Công_thôi_việc3"/>
      <sheetName val="Detail_thôi3"/>
      <sheetName val="C1_3_13"/>
      <sheetName val="실행기성_갑지4"/>
      <sheetName val="Eq__Mobilization3"/>
      <sheetName val="1__작성방식3"/>
      <sheetName val="표)CFT장_조직별_배분3"/>
      <sheetName val="20180214_P&amp;T3"/>
      <sheetName val="Ref__중점_추진_과제별_상세3"/>
      <sheetName val="2_6_三无_(2)3"/>
      <sheetName val="수량산출서_갑지3"/>
      <sheetName val="G_R300경비3"/>
      <sheetName val="AS포장복구_3"/>
      <sheetName val="설_계3"/>
      <sheetName val="Worker_List3"/>
      <sheetName val="GB-IC_Villingen_GG3"/>
      <sheetName val="6월_공嚺㓶가3"/>
      <sheetName val="Exchange_rate3"/>
      <sheetName val="업무_분류(Category)3"/>
      <sheetName val="준검_내역서3"/>
      <sheetName val="날개수량1_53"/>
      <sheetName val="F_월별기성수금현황_3"/>
      <sheetName val="기초정보_코드3"/>
      <sheetName val="#1_Basic3"/>
      <sheetName val="첨부#2_Cash_Flow(현장작성)3"/>
      <sheetName val="3_일반사상3"/>
      <sheetName val="Bank_code3"/>
      <sheetName val="Drop-down_RAW3"/>
      <sheetName val="산자사_운전용품3"/>
      <sheetName val="보고서_표3"/>
      <sheetName val="0__가정_및_결론3"/>
      <sheetName val="1__투자비3"/>
      <sheetName val="2__Rent-roll3"/>
      <sheetName val="3__Funding3"/>
      <sheetName val="4__운영수익3"/>
      <sheetName val="5__운영비용3"/>
      <sheetName val="6_1_N+1년차_NOI_산정3"/>
      <sheetName val="6__부동산매각3"/>
      <sheetName val="7__보유세3"/>
      <sheetName val="8__교통유발부담금3"/>
      <sheetName val="9__BS부속3"/>
      <sheetName val="10__CF(M)3"/>
      <sheetName val="11__IS(M)3"/>
      <sheetName val="12__BS(M)3"/>
      <sheetName val="14__IS(FY)3"/>
      <sheetName val="13__CF(FY)3"/>
      <sheetName val="15__BS(FY)3"/>
      <sheetName val="16__RE(FY)3"/>
      <sheetName val="4_1_월별_에너지_사용량3"/>
      <sheetName val="조도계산서_(도서)3"/>
      <sheetName val="A(Rev_3)3"/>
      <sheetName val="STRAT_PLAN_WKSHT4"/>
      <sheetName val="Sales_Plan_&amp;_other4"/>
      <sheetName val="drop_downs3"/>
      <sheetName val="Basic_Information3"/>
      <sheetName val="7300-1000_114"/>
      <sheetName val="PJT_현황3"/>
      <sheetName val="진행_DATA_(2)3"/>
      <sheetName val="참고)_기준정보3"/>
      <sheetName val="Long_Term_Prices3"/>
      <sheetName val="구분_Table3"/>
      <sheetName val="역T형옹벽(3_0)3"/>
      <sheetName val="외상매출금현황-수정분_A23"/>
      <sheetName val="PF_현황(11년12월)3"/>
      <sheetName val="_3"/>
      <sheetName val="Template_HN3"/>
      <sheetName val="Resumen_(hL_env)3"/>
      <sheetName val="_손익기01_XL__DePara12"/>
      <sheetName val="입찰내역_Ĉ3"/>
      <sheetName val="match_list3"/>
      <sheetName val="Q4_20183"/>
      <sheetName val="Q4_20193"/>
      <sheetName val="Q4_Sum3"/>
      <sheetName val="2020_KPI_LE03"/>
      <sheetName val="Rate_data3"/>
      <sheetName val="KPI_need_to_input3"/>
      <sheetName val="강남_CRM_11월3"/>
      <sheetName val="CRITERIOS_DE_AI4"/>
      <sheetName val="Nigeria_&amp;_Ghana3"/>
      <sheetName val="Manual_Database2"/>
      <sheetName val="_손익기01_XL_x005f_x005f_x003"/>
      <sheetName val="DEX_(2)2"/>
      <sheetName val="TR__KHCode2"/>
      <sheetName val="NDD_CPT2"/>
      <sheetName val="_折扣项_PromotionPlan2"/>
      <sheetName val="Lista_d3"/>
      <sheetName val="Catalogo_Cursos2"/>
      <sheetName val="Catalogo_Cursos_2"/>
      <sheetName val="Check_People2"/>
      <sheetName val="AVANCE_PROGRAMACION2"/>
      <sheetName val="Cumplimiento_por_Entrenamiento2"/>
      <sheetName val="Cumplimiento_del_Plan_por_área2"/>
      <sheetName val="CAPTURA_ENE_MAY2"/>
      <sheetName val="tablas_cuadrillas2"/>
      <sheetName val="Base_de_Datos_de_Activos_2"/>
      <sheetName val="PIVOT_ADHERENCIA2"/>
      <sheetName val="Steps_of_Committe_2"/>
      <sheetName val="IC's_(2)2"/>
      <sheetName val="Participación_en_entrenamie_(22"/>
      <sheetName val="Detalle_para_correctivo_excep_3"/>
      <sheetName val="Puerto_Rico3"/>
      <sheetName val="AI_OYS_Acum3"/>
      <sheetName val="Boletas_Condiciones3"/>
      <sheetName val="1_14"/>
      <sheetName val="1_24"/>
      <sheetName val="2_1-Pareto3"/>
      <sheetName val="Datos_Mensuales3"/>
      <sheetName val="Indicador_EE_Mensual3"/>
      <sheetName val="Plan_de_Acción_MAZ2"/>
      <sheetName val="DIAGEO_VENTURE1"/>
      <sheetName val="MAESTRO_CODIGOS1"/>
      <sheetName val="Por_regional1"/>
      <sheetName val="Por_Proveedor1"/>
      <sheetName val="X_Categoria1"/>
      <sheetName val="Por_Vendedor1"/>
      <sheetName val="Por_Mayoristas1"/>
      <sheetName val="Por_Cliente1"/>
      <sheetName val="Por_producto1"/>
      <sheetName val="Por_producto_cant_1"/>
      <sheetName val="Por_producto_cant__(2)1"/>
      <sheetName val="Por_Vendedor_X_Ciudad1"/>
      <sheetName val="Act_por_cliente1"/>
      <sheetName val="Act_por_Proveedor1"/>
      <sheetName val="Act_por_producto1"/>
      <sheetName val="Probability_and_Consequence1"/>
      <sheetName val="Total_marcas1"/>
      <sheetName val="Fase_11"/>
      <sheetName val="Fase_21"/>
      <sheetName val="Fase_31"/>
      <sheetName val="Project_Count"/>
      <sheetName val="M&amp;Q_Lead"/>
      <sheetName val="업무분장_"/>
      <sheetName val="견적_맵"/>
      <sheetName val="TOWER_12TON"/>
      <sheetName val="TOWER_10TON"/>
      <sheetName val="JIB_CRANE,HOIST"/>
      <sheetName val="Diesel_Price_"/>
      <sheetName val="전기요금_산출내역"/>
      <sheetName val="노원열병합__건축공사기성내역서"/>
      <sheetName val="문의내용_카테고리_분류(수정X)"/>
      <sheetName val="Phieu_trinh_ky_cấu_tháp"/>
      <sheetName val="Phieu_trinh_ky_VTP"/>
      <sheetName val="KS-VL_rời"/>
      <sheetName val="Tai_san"/>
      <sheetName val="Check_dong_tien"/>
      <sheetName val="Chi_phí_SDTS"/>
      <sheetName val="Check_COST"/>
      <sheetName val="DATA_HD"/>
      <sheetName val="Tong_hop_1TM"/>
      <sheetName val="NS_Lán_trại"/>
      <sheetName val="Check_cong_no_NC"/>
      <sheetName val="Investment_Category"/>
      <sheetName val="Mot_So_Thuat_Ngu_EN-VI1"/>
      <sheetName val="시스템_개요_유효값"/>
      <sheetName val="NG_Item"/>
      <sheetName val="Ref__Spec_Review_양식"/>
      <sheetName val="Ref__시험항목_테이블"/>
      <sheetName val="Ref__Search_Result_테이블"/>
      <sheetName val="20년_동일기간_소테마"/>
      <sheetName val="control_sheet"/>
      <sheetName val="JT3_0견적-구1"/>
      <sheetName val="Dropbox_목록"/>
      <sheetName val="SPT_vs_PHI"/>
      <sheetName val="수량산출서_(2)"/>
      <sheetName val="1_수인터널1"/>
      <sheetName val="1-2_설계변경요청서(갑지)"/>
      <sheetName val="첨부1_(주차관제-_당공)"/>
      <sheetName val="첨부1-1_설계변경내역서(CCTV)"/>
      <sheetName val="첨부1-2_(주차관제-변공)"/>
      <sheetName val="2-6_변공량(추가공사)"/>
      <sheetName val="_2-1_관제(물량산출서집계표)"/>
      <sheetName val="_2-2_유도(물량산출서집계표)"/>
      <sheetName val="3-1_주차관제"/>
      <sheetName val="3-2_주차-광케이블"/>
      <sheetName val="3-3_층별LPR"/>
      <sheetName val="4-1_유도-광케이블"/>
      <sheetName val="4-2_주차키오스크"/>
      <sheetName val="4-3_4면카메라"/>
      <sheetName val="4-5_CCTV"/>
      <sheetName val="4-6_블럭유도등"/>
      <sheetName val="4-7_입구만차등"/>
      <sheetName val="4-8_비상벨"/>
      <sheetName val="7_공사비집Ā翸"/>
      <sheetName val="1~9_하중계산"/>
      <sheetName val="BSD_(2)"/>
      <sheetName val="_x005f_x0000__㴐ኰ"/>
      <sheetName val="_x005f_x0000__움ᕕ"/>
      <sheetName val="2_실행ﶻ"/>
      <sheetName val="방배동내역_(총괄)"/>
      <sheetName val="NKC_(final)"/>
      <sheetName val="NCR_HEC_6_Opens"/>
      <sheetName val="NCR_HEC_4_Open_&amp;_Vendor_2_Opens"/>
      <sheetName val="무형자산_LS11"/>
      <sheetName val="OH_"/>
      <sheetName val="2_FM_Fee_2차년도"/>
      <sheetName val="3_감가장비"/>
      <sheetName val="SRS_월별_BS1"/>
      <sheetName val="평가&amp;선급_미지급1"/>
      <sheetName val="EXC_IND"/>
      <sheetName val="COLOR별_인쇄"/>
      <sheetName val="Sensitivity_and_GC_Value"/>
      <sheetName val="10_예산_및_원가_계획(02년)"/>
      <sheetName val="TARGETS_BY_MONTH"/>
      <sheetName val="2021_Customer_Targets_By_Month"/>
      <sheetName val="Customer_Data"/>
      <sheetName val="Total_Sales"/>
      <sheetName val="April'21_(2)"/>
      <sheetName val="CLOSED_OUT_LETS_ "/>
      <sheetName val="SEM_x_area"/>
      <sheetName val="8_Bars"/>
      <sheetName val="TO_Data_Base28"/>
      <sheetName val="YTD_Summary27"/>
      <sheetName val="Month_Summary27"/>
      <sheetName val="Trial_Balance_MAY_200927"/>
      <sheetName val="TB_Pivot27"/>
      <sheetName val="total_per_LB_LB227"/>
      <sheetName val="Trial_Balance_Vlookup27"/>
      <sheetName val="Trial_Balance_APRIL_200927"/>
      <sheetName val="Roll_Out_AQ27"/>
      <sheetName val="Evolução_mandamentos27"/>
      <sheetName val="Planilha_resultados26"/>
      <sheetName val="Historico_200326"/>
      <sheetName val="Sig_Cycles_Accts_&amp;_Processes26"/>
      <sheetName val="Fixed_ZBB20"/>
      <sheetName val="E_法规NC20"/>
      <sheetName val="3_ISo_YTD20"/>
      <sheetName val="Données_LMU20"/>
      <sheetName val="Brazil_Sovereign20"/>
      <sheetName val="Resumen_Costo20"/>
      <sheetName val="Base_de_Dados20"/>
      <sheetName val="Extract_Loss20"/>
      <sheetName val="5_120"/>
      <sheetName val="QA_跟踪记录表20"/>
      <sheetName val="RG_Depots20"/>
      <sheetName val="material_data20"/>
      <sheetName val="other_data20"/>
      <sheetName val="Como_Estamos20"/>
      <sheetName val="Database_(RUR)Mar_YTD20"/>
      <sheetName val="SKU_Mapping20"/>
      <sheetName val="Drop_Down20"/>
      <sheetName val="Raw_Data20"/>
      <sheetName val="EBM-2_GHQ20"/>
      <sheetName val="Base_PEF21"/>
      <sheetName val="Controls_data22"/>
      <sheetName val="Testing_Template_Guidance20"/>
      <sheetName val="Test_Programs20"/>
      <sheetName val="Dados_BLP20"/>
      <sheetName val="FJJX_Bud_IB19"/>
      <sheetName val="JOB_PROFILE_-_LAS20"/>
      <sheetName val="ARdistr_(2)20"/>
      <sheetName val="look-up_data19"/>
      <sheetName val="Prd_Hierarchy(产品层级)19"/>
      <sheetName val="Com_(2PK)19"/>
      <sheetName val="Project_Code19"/>
      <sheetName val="요일_테이블20"/>
      <sheetName val="요일_테이블_(2)19"/>
      <sheetName val="Prd_Hierarchy(产品层次)19"/>
      <sheetName val="전사_PL21"/>
      <sheetName val="자금_제외_PL21"/>
      <sheetName val="자금_PL21"/>
      <sheetName val="전사_BS21"/>
      <sheetName val="자금_제외_BS21"/>
      <sheetName val="자금_BS21"/>
      <sheetName val="BS_계정_설명21"/>
      <sheetName val="_Cash_Flow(전사)21"/>
      <sheetName val="_Cash_Flow(자금제외)21"/>
      <sheetName val="_Cash_Flow(자금)21"/>
      <sheetName val="ROIC_21"/>
      <sheetName val="인건비_명세21"/>
      <sheetName val="판관비_명세21"/>
      <sheetName val="OH_Cost경비(내역)21"/>
      <sheetName val="OH_Cost경비(배부기준)21"/>
      <sheetName val="기타수지&amp;특별손익_명세21"/>
      <sheetName val="업무연락_(2)20"/>
      <sheetName val="제시_손익계산서20"/>
      <sheetName val="01_02월_성과급21"/>
      <sheetName val="M_7회차_담금_계획20"/>
      <sheetName val="팀별_실적20"/>
      <sheetName val="팀별_실적_(환산)20"/>
      <sheetName val="4__Inj_투자상세내역20"/>
      <sheetName val="3__Blow_투자_상세내역20"/>
      <sheetName val="Process_List20"/>
      <sheetName val="7_(2)20"/>
      <sheetName val="_손익기01_XL19"/>
      <sheetName val="drop_down_list19"/>
      <sheetName val="Income_Stmt19"/>
      <sheetName val="[손익기01_XL_x005f_x0000__x005f_x0000_DePara19"/>
      <sheetName val="Quarterly_LBO_Model19"/>
      <sheetName val="[손익기01_XL19"/>
      <sheetName val="_손익기01_XL_x005f_x0000__x005f_x0000_DePara19"/>
      <sheetName val="15년_BL_사계19"/>
      <sheetName val="1_종합손익(도급)19"/>
      <sheetName val="1_종합손익(주택,개발)19"/>
      <sheetName val="2_실행예산19"/>
      <sheetName val="2_2과부족19"/>
      <sheetName val="2_3원가절감19"/>
      <sheetName val="8_외주비집행현황19"/>
      <sheetName val="9_자재비19"/>
      <sheetName val="10_현장집행19"/>
      <sheetName val="3_추가원가19"/>
      <sheetName val="3_추가원가_(2)19"/>
      <sheetName val="4_사전공사19"/>
      <sheetName val="5_추정공사비19"/>
      <sheetName val="6_금융비용19"/>
      <sheetName val="7_공사비집행현황(총괄)19"/>
      <sheetName val="11_1생산성19"/>
      <sheetName val="11_2인원산출19"/>
      <sheetName val="Figures_Report18"/>
      <sheetName val="Classification_分类18"/>
      <sheetName val="Set_Up19"/>
      <sheetName val="Perf__Plan__Diário118"/>
      <sheetName val="In_(2)18"/>
      <sheetName val="Fare_prices18"/>
      <sheetName val="Hotel_prices18"/>
      <sheetName val="tab_STATUS_DO_PROCESSO_18"/>
      <sheetName val="Clasif_17"/>
      <sheetName val="Cond__Inseguros17"/>
      <sheetName val="Comp__Inseguros17"/>
      <sheetName val="Lista_de_datos17"/>
      <sheetName val="MASTER_APP17"/>
      <sheetName val="CLASIFICACION_DE_AI18"/>
      <sheetName val="Base_da_Datos18"/>
      <sheetName val="__한국_AMP_ASP-23_판매가격__18"/>
      <sheetName val="CC_Down_load_071618"/>
      <sheetName val="변경실행(2차)_18"/>
      <sheetName val="나_출고18"/>
      <sheetName val="나_입고18"/>
      <sheetName val="09년_인건비(속리산)18"/>
      <sheetName val="합산목표(감가+57_5)18"/>
      <sheetName val="제조원가_원단위_분석18"/>
      <sheetName val="종합표양식(품의_&amp;_입고)_218"/>
      <sheetName val="원가관리_(동월대비)18"/>
      <sheetName val="b_balju_(2)18"/>
      <sheetName val="2-2_매출분석18"/>
      <sheetName val="몰드시스템_리스트18"/>
      <sheetName val="11_외화채무증권(AFS,HTM)0818"/>
      <sheetName val="13_감액TEST_0818"/>
      <sheetName val="12년_CF(9월)18"/>
      <sheetName val="중기조종사_단위단가18"/>
      <sheetName val="6PILE__(돌출)18"/>
      <sheetName val="기성청구_공문18"/>
      <sheetName val="Sheet1_(2)18"/>
      <sheetName val="slide_24_cat_A18"/>
      <sheetName val="slide_82_cat_b18"/>
      <sheetName val="Dados_dos_Produtos18"/>
      <sheetName val="Base_de_Datos17"/>
      <sheetName val="Farol_Acciones17"/>
      <sheetName val="Lista_de_Entrenamientos17"/>
      <sheetName val="09~10년_매출계획18"/>
      <sheetName val="1_MDF1공장18"/>
      <sheetName val="Unidades_SAC-REVENDA18"/>
      <sheetName val="FornecM_Check16"/>
      <sheetName val="Incident_유형구분표18"/>
      <sheetName val="3YP2016-Bottom_up17"/>
      <sheetName val="DD_list18"/>
      <sheetName val="Lista_CI17"/>
      <sheetName val="2_카드채권(대출포함)17"/>
      <sheetName val="表21_净利润调节表17"/>
      <sheetName val="Supply_Cost_Centers17"/>
      <sheetName val="Estratificación_AI16"/>
      <sheetName val="condicion_inseguras16"/>
      <sheetName val="Actos_Inseguros16"/>
      <sheetName val="Control_de_incidentes16"/>
      <sheetName val="Plan_de_Acción16"/>
      <sheetName val="_DD_List17"/>
      <sheetName val="Share_Price_200217"/>
      <sheetName val="[손익기01_XL??DePara16"/>
      <sheetName val="Farol_Metas16"/>
      <sheetName val="Mod_Relac_16"/>
      <sheetName val="TOP_KPIs_MTM16"/>
      <sheetName val="PLAN_DE_ACCION16"/>
      <sheetName val="Faro_de_Indicadores16"/>
      <sheetName val="Grafica_Actos16"/>
      <sheetName val="Condiciones_SyE16"/>
      <sheetName val="REALxMETA_-_CERVEJA18"/>
      <sheetName val="REALxMETA_-_REFRI18"/>
      <sheetName val="BEP_加薪_KPI16"/>
      <sheetName val="Dashboard_Prevención_Riesgos_16"/>
      <sheetName val="Directrices_de_Metas_201716"/>
      <sheetName val="Issues_List_Payments16"/>
      <sheetName val="POC_LIST16"/>
      <sheetName val="Entity_Target16"/>
      <sheetName val="do_not_delete16"/>
      <sheetName val="_손익기01_XL_x005f_x005f_x005f_x0000__x005f_x005f_16"/>
      <sheetName val="Hazards_Analysis-隐患分析16"/>
      <sheetName val="F08_-_Asia_Pac_Full_Year_Q317"/>
      <sheetName val="Top_Priorities17"/>
      <sheetName val="Listco_Stock17"/>
      <sheetName val="Intl_Purchase17"/>
      <sheetName val="FY_outlook17"/>
      <sheetName val="CY_outlook17"/>
      <sheetName val="Cash_metrics17"/>
      <sheetName val="P6_717"/>
      <sheetName val="DATOS_BASE16"/>
      <sheetName val="97_사업추정(WEKI)16"/>
      <sheetName val="Tong_hop16"/>
      <sheetName val="95_1_1이후취득자산(숨기기상태)16"/>
      <sheetName val="sum1_(2)16"/>
      <sheetName val="3_바닥판설계16"/>
      <sheetName val="6월_공정외주16"/>
      <sheetName val="2_대외공문16"/>
      <sheetName val="2_총괄표16"/>
      <sheetName val="입출재고현황_(2)16"/>
      <sheetName val="504전기실_동부하-L16"/>
      <sheetName val="OUTER_AREA(겹침없음)16"/>
      <sheetName val="EL_표면적16"/>
      <sheetName val="TRE_TABLE16"/>
      <sheetName val="입찰내역_발주처_양식16"/>
      <sheetName val="De_Para15"/>
      <sheetName val="DETALLE_MENSUAL16"/>
      <sheetName val="Check_Qualidade14"/>
      <sheetName val="Check_Aderencia14"/>
      <sheetName val="Data_validation16"/>
      <sheetName val="SKU_Basic_Data16"/>
      <sheetName val="Ventas_Campo14"/>
      <sheetName val="APAC_S16"/>
      <sheetName val="APAC_N16"/>
      <sheetName val="Slide_output16"/>
      <sheetName val="turnover_reason퇴직사유16"/>
      <sheetName val="Base_Farol14"/>
      <sheetName val="Gerencial_IL14"/>
      <sheetName val="VALIDACION_DE_DATOS15"/>
      <sheetName val="ACTOS_POR_RIESGO14"/>
      <sheetName val="Nombre_de_SOP14"/>
      <sheetName val="drop_lists14"/>
      <sheetName val="KPIs_Hana14"/>
      <sheetName val="Catalago_de_refacciones_14"/>
      <sheetName val="Existencias_al_07-Nov-201214"/>
      <sheetName val="Check_GG14"/>
      <sheetName val="Drop-down_List15"/>
      <sheetName val="by_DD15"/>
      <sheetName val="Jul-Sep_Actual_cost_(2)15"/>
      <sheetName val="MRL_NON_SUPPLY_URU14"/>
      <sheetName val="AIIM_-_Empresas_Ext_201214"/>
      <sheetName val="Ta_14"/>
      <sheetName val="2__Indicadores14"/>
      <sheetName val="_손익기01_XL_x005f_x0000__x014"/>
      <sheetName val="부재료_비교(11년_vs_10년)14"/>
      <sheetName val="Lista_de_Entrenamientos_RSO14"/>
      <sheetName val="Tablero_SDG17"/>
      <sheetName val="Lista_Areas17"/>
      <sheetName val="One_Page17"/>
      <sheetName val="Sub-Productos_HN15"/>
      <sheetName val="Eficiencia_linea14"/>
      <sheetName val="_mngt_Pillar14"/>
      <sheetName val="Comp_Inseguros13"/>
      <sheetName val="Pauta_RPS_Distribuição13"/>
      <sheetName val="Estoque_(2)13"/>
      <sheetName val="Sheet3_(2)14"/>
      <sheetName val="Lao_&amp;_Cam14"/>
      <sheetName val="Hoegaarden_201914"/>
      <sheetName val="Lao_&amp;_Cam_201914"/>
      <sheetName val="Malaysia_201914"/>
      <sheetName val="Singapore_201914"/>
      <sheetName val="Sheet2_(2)14"/>
      <sheetName val="요일_테이블_14"/>
      <sheetName val="Other_Listings14"/>
      <sheetName val="BNR_2012_в_ящике13"/>
      <sheetName val="FX_Rates12"/>
      <sheetName val="Vagas_x_Candidatos12"/>
      <sheetName val="Análise_Tempos9"/>
      <sheetName val="__한국_AMP_ASP-23_판㧤가격__12"/>
      <sheetName val="11_䡸화채무줝ⴌ(AFS,HTM)0812"/>
      <sheetName val="Drop_list12"/>
      <sheetName val="DO_NOT_MOVE13"/>
      <sheetName val="DATOS_DE_VALIDACIÓN13"/>
      <sheetName val="Datos_con13"/>
      <sheetName val="_Datos_Cond_13"/>
      <sheetName val="INGRESO_(2)13"/>
      <sheetName val="PG-K1610_(UEN_Areas)MNG13"/>
      <sheetName val="DATOS_GEN_13"/>
      <sheetName val="NUEVOS_CRITERIOS13"/>
      <sheetName val="Condiciones_Agua13"/>
      <sheetName val="Dropdown_list12"/>
      <sheetName val="Proced_12"/>
      <sheetName val="Cut_Machine_Summary12"/>
      <sheetName val="Validação_de_Dados9"/>
      <sheetName val="Control_de_Fallas12"/>
      <sheetName val="Setup_for_Templates12"/>
      <sheetName val="Datos_emp12"/>
      <sheetName val="Validation_lists12"/>
      <sheetName val="TIPO_DE_ACTO12"/>
      <sheetName val="CRITICIDAD_DE_CI12"/>
      <sheetName val="Catálogo_de_CI12"/>
      <sheetName val="%_CUMPLIMIENTO12"/>
      <sheetName val="%_cumplimiento_12"/>
      <sheetName val="CALIFICACIONES_201910"/>
      <sheetName val="Lev_4_360_deg_check_Crit_Task10"/>
      <sheetName val="Lev_4_Chk_IC_Stock_Crit_Task10"/>
      <sheetName val="Lev_4_WMS_Putaway_Crit_Task10"/>
      <sheetName val="No_llenar_9"/>
      <sheetName val="Listas_y_equipos_a_evaluar12"/>
      <sheetName val="Data_Reporte12"/>
      <sheetName val="Read_me12"/>
      <sheetName val="Daily_Dashboard12"/>
      <sheetName val="Champions_List11"/>
      <sheetName val="NAZ_Strategy10"/>
      <sheetName val="Lista_de_Motivos9"/>
      <sheetName val="Ponto_Crítico_-_Resp__Plano9"/>
      <sheetName val="Lista_Funcionários_(2)9"/>
      <sheetName val="Mapeo_SKUs12"/>
      <sheetName val="Vol_(Ds)12"/>
      <sheetName val="Vol_(Ka)12"/>
      <sheetName val="Vol_(Oth)12"/>
      <sheetName val="Vol_(Oth)_Cortesias12"/>
      <sheetName val="INPUT-Cust_Sugg_Margin(Ds)12"/>
      <sheetName val="On_Invoice12"/>
      <sheetName val="INPUT-Cust_Sugg_Margin(Ka)12"/>
      <sheetName val="INPUT_SKUs12"/>
      <sheetName val="Brand_P&amp;L10"/>
      <sheetName val="SUPERMONT_P10"/>
      <sheetName val="Data_selection10"/>
      <sheetName val="1_10"/>
      <sheetName val="Customer_&amp;_SO10"/>
      <sheetName val="Session_Proposal10"/>
      <sheetName val="PDA_BOP9"/>
      <sheetName val="Incentivo_Automóvil9"/>
      <sheetName val="PAINEL_RECOLHA_CRÉDITO9"/>
      <sheetName val="Gráficos_-_CDD9"/>
      <sheetName val="Razão_Social6"/>
      <sheetName val="Status_de_Usuario7"/>
      <sheetName val="Listas_desplegables7"/>
      <sheetName val="Resumen_General7"/>
      <sheetName val="Cátalogo_de_CI7"/>
      <sheetName val="Hoja2_(2)7"/>
      <sheetName val="Technology_check_list7"/>
      <sheetName val="Actos_y_Condiciones_7"/>
      <sheetName val="NO_BORRAR7"/>
      <sheetName val="Project_List8"/>
      <sheetName val="Dropdown_Menu8"/>
      <sheetName val="SOP_Freshness7"/>
      <sheetName val="유류대_현황7"/>
      <sheetName val="Выпадающие_списки8"/>
      <sheetName val="2_3_Projects_Status7"/>
      <sheetName val="mapping_(2)7"/>
      <sheetName val="Ref_7"/>
      <sheetName val="PROCESS_MD9"/>
      <sheetName val="Formato_checklist_Lab7"/>
      <sheetName val="1__템플릿7"/>
      <sheetName val="2__작성_참고사항7"/>
      <sheetName val="Master_Data7"/>
      <sheetName val="Consolidated_Project_List7"/>
      <sheetName val="Fixed_Cost7"/>
      <sheetName val="Dimension_IN_Sheet1!D19127"/>
      <sheetName val="Dimension_IN_19127"/>
      <sheetName val="Manage_to_Sustain6"/>
      <sheetName val="Packages_Info6"/>
      <sheetName val="Meeting_List6"/>
      <sheetName val="FILIAL_MINAS6"/>
      <sheetName val="2020_MMR126"/>
      <sheetName val="입문_트랜드(종합분석)6"/>
      <sheetName val="Master_CE6"/>
      <sheetName val="CE_Final_6"/>
      <sheetName val="OL_LIST6"/>
      <sheetName val="YTD_GUEST_LIST6"/>
      <sheetName val="Session_Full_list6"/>
      <sheetName val="FOOD_PAYMENT_update_JAN6"/>
      <sheetName val="Rate_card_F19_6"/>
      <sheetName val="Master_Plan__(update)6"/>
      <sheetName val="The_KPI_6"/>
      <sheetName val="Mentor_Plan_6"/>
      <sheetName val="Master_Plan_6"/>
      <sheetName val="Tier_1_GOV_PC_Networking_6"/>
      <sheetName val="Tier_1_LBO_6"/>
      <sheetName val="Preferred_Option6"/>
      <sheetName val="_손익기01_XL_x005f_x0000__x005f_x005f_x06"/>
      <sheetName val="info_for_drop_box6"/>
      <sheetName val="KPIs-_TTP,_PTP,_People_Turnove6"/>
      <sheetName val="1월_목표6"/>
      <sheetName val="POCM_배송지6"/>
      <sheetName val="_4"/>
      <sheetName val="Mapping_4"/>
      <sheetName val="WS_DB4"/>
      <sheetName val="Region_4"/>
      <sheetName val="SKU_DB4"/>
      <sheetName val="SAP_info4"/>
      <sheetName val="Target_Book4"/>
      <sheetName val="10_麦汁CIP清洗标准水量4"/>
      <sheetName val="Lista_AI4"/>
      <sheetName val="Resumen_(hL_env)4"/>
      <sheetName val="데이터_유효성_목록4"/>
      <sheetName val="Ref_New_Contract_Model4"/>
      <sheetName val="Name_List4"/>
      <sheetName val="Back_Data_16"/>
      <sheetName val="2_주요계수총괄6"/>
      <sheetName val="외주현황_wq15"/>
      <sheetName val="P_M_별7"/>
      <sheetName val="대투_보관자료_변경5"/>
      <sheetName val="Project_Brief6"/>
      <sheetName val="단면_(2)6"/>
      <sheetName val="부대시행1_(2)5"/>
      <sheetName val="1_차입금5"/>
      <sheetName val="근거_및_가정5"/>
      <sheetName val="118_세금과공과6"/>
      <sheetName val="_견적서5"/>
      <sheetName val="Facility_Information6"/>
      <sheetName val="1_본사계정별6"/>
      <sheetName val="3_6_2남양주택배5"/>
      <sheetName val="해외_기술훈련비_(합계)6"/>
      <sheetName val="설산1_나5"/>
      <sheetName val="PAD_TR보호대기초5"/>
      <sheetName val="1월_예산5"/>
      <sheetName val="Utility_Usage_YTN_TOWER5"/>
      <sheetName val="1__시공측량5"/>
      <sheetName val="수종별수량_(2)5"/>
      <sheetName val="전선_및_전선관5"/>
      <sheetName val="설문_평가5"/>
      <sheetName val="B-1_기본정보5"/>
      <sheetName val="납부내역총괄표_(수정)5"/>
      <sheetName val="#1)_투자_구분5"/>
      <sheetName val="Rev__Recon_14"/>
      <sheetName val="1_고객불만건수4"/>
      <sheetName val="1_변경범위4"/>
      <sheetName val="Weekly_Progress(계장)5"/>
      <sheetName val="2013_2월_연결대상5"/>
      <sheetName val="2-2_투자5"/>
      <sheetName val="Proj__Fin_5"/>
      <sheetName val="ITS_Assumptions4"/>
      <sheetName val="7_Utility_Analysis4"/>
      <sheetName val="Operational_Activities4"/>
      <sheetName val="13_포장용역비표준5"/>
      <sheetName val="9_가공부자재표준5"/>
      <sheetName val="8_ROLL표준(TSW)5"/>
      <sheetName val="4_톤당조관량표준5"/>
      <sheetName val="5_조관부자재표준5"/>
      <sheetName val="KEY_CODE5"/>
      <sheetName val="2-1_강사료,교통비_지급명세5"/>
      <sheetName val="HQ_급여_4"/>
      <sheetName val="OF_급여4"/>
      <sheetName val="F_Ma급여4"/>
      <sheetName val="SMT_급여4"/>
      <sheetName val="QC_급여4"/>
      <sheetName val="Sam_sung_급여4"/>
      <sheetName val="Dlock_급여4"/>
      <sheetName val="_thôi_việc_급여4"/>
      <sheetName val="Công_smt4"/>
      <sheetName val="Công_smt_(2)4"/>
      <sheetName val="Detail_smt4"/>
      <sheetName val="Công_QC4"/>
      <sheetName val="Detail_QC_4"/>
      <sheetName val="Công_SS4"/>
      <sheetName val="Detail_SS4"/>
      <sheetName val="Công_FMa4"/>
      <sheetName val="Detail_FMa4"/>
      <sheetName val="Công_OF4"/>
      <sheetName val="Detail_OF4"/>
      <sheetName val="Công_Dlock4"/>
      <sheetName val="Detail_Dlock4"/>
      <sheetName val="Công_thôi_việc4"/>
      <sheetName val="Detail_thôi4"/>
      <sheetName val="C1_3_14"/>
      <sheetName val="실행기성_갑지5"/>
      <sheetName val="Eq__Mobilization4"/>
      <sheetName val="1__작성방식4"/>
      <sheetName val="표)CFT장_조직별_배분4"/>
      <sheetName val="20180214_P&amp;T4"/>
      <sheetName val="Ref__중점_추진_과제별_상세4"/>
      <sheetName val="2_6_三无_(2)4"/>
      <sheetName val="수량산출서_갑지4"/>
      <sheetName val="G_R300경비4"/>
      <sheetName val="AS포장복구_4"/>
      <sheetName val="설_계4"/>
      <sheetName val="Worker_List4"/>
      <sheetName val="GB-IC_Villingen_GG4"/>
      <sheetName val="6월_공嚺㓶가4"/>
      <sheetName val="Exchange_rate4"/>
      <sheetName val="업무_분류(Category)4"/>
      <sheetName val="준검_내역서4"/>
      <sheetName val="날개수량1_54"/>
      <sheetName val="F_월별기성수금현황_4"/>
      <sheetName val="기초정보_코드4"/>
      <sheetName val="#1_Basic4"/>
      <sheetName val="첨부#2_Cash_Flow(현장작성)4"/>
      <sheetName val="3_일반사상4"/>
      <sheetName val="Bank_code4"/>
      <sheetName val="Drop-down_RAW4"/>
      <sheetName val="산자사_운전용품4"/>
      <sheetName val="보고서_표4"/>
      <sheetName val="0__가정_및_결론4"/>
      <sheetName val="1__투자비4"/>
      <sheetName val="2__Rent-roll4"/>
      <sheetName val="3__Funding4"/>
      <sheetName val="4__운영수익4"/>
      <sheetName val="5__운영비용4"/>
      <sheetName val="6_1_N+1년차_NOI_산정4"/>
      <sheetName val="6__부동산매각4"/>
      <sheetName val="7__보유세4"/>
      <sheetName val="8__교통유발부담금4"/>
      <sheetName val="9__BS부속4"/>
      <sheetName val="10__CF(M)4"/>
      <sheetName val="11__IS(M)4"/>
      <sheetName val="12__BS(M)4"/>
      <sheetName val="14__IS(FY)4"/>
      <sheetName val="13__CF(FY)4"/>
      <sheetName val="15__BS(FY)4"/>
      <sheetName val="16__RE(FY)4"/>
      <sheetName val="4_1_월별_에너지_사용량4"/>
      <sheetName val="조도계산서_(도서)4"/>
      <sheetName val="A(Rev_3)4"/>
      <sheetName val="STRAT_PLAN_WKSHT5"/>
      <sheetName val="Sales_Plan_&amp;_other5"/>
      <sheetName val="drop_downs4"/>
      <sheetName val="Basic_Information4"/>
      <sheetName val="7300-1000_115"/>
      <sheetName val="PJT_현황4"/>
      <sheetName val="진행_DATA_(2)4"/>
      <sheetName val="참고)_기준정보4"/>
      <sheetName val="Long_Term_Prices4"/>
      <sheetName val="구분_Table4"/>
      <sheetName val="역T형옹벽(3_0)4"/>
      <sheetName val="외상매출금현황-수정분_A24"/>
      <sheetName val="PF_현황(11년12월)4"/>
      <sheetName val="Curva_20214"/>
      <sheetName val="Por_PPR5"/>
      <sheetName val="_손익기01_XL__DePara13"/>
      <sheetName val="입찰내역_Ĉ4"/>
      <sheetName val="match_list4"/>
      <sheetName val="Q4_20184"/>
      <sheetName val="Q4_20194"/>
      <sheetName val="Q4_Sum4"/>
      <sheetName val="2020_KPI_LE04"/>
      <sheetName val="Rate_data4"/>
      <sheetName val="Template_HN4"/>
      <sheetName val="KPI_need_to_input4"/>
      <sheetName val="강남_CRM_11월4"/>
      <sheetName val="Nigeria_&amp;_Ghana4"/>
      <sheetName val="DEX_(2)3"/>
      <sheetName val="Manual_Database3"/>
      <sheetName val="_손익기01_XL_x005f_x005f_x004"/>
      <sheetName val="TO_Data_Base29"/>
      <sheetName val="YTD_Summary28"/>
      <sheetName val="Month_Summary28"/>
      <sheetName val="Trial_Balance_MAY_200928"/>
      <sheetName val="TB_Pivot28"/>
      <sheetName val="total_per_LB_LB228"/>
      <sheetName val="Trial_Balance_Vlookup28"/>
      <sheetName val="Trial_Balance_APRIL_200928"/>
      <sheetName val="Roll_Out_AQ28"/>
      <sheetName val="Evolução_mandamentos28"/>
      <sheetName val="Planilha_resultados27"/>
      <sheetName val="Historico_200327"/>
      <sheetName val="Sig_Cycles_Accts_&amp;_Processes27"/>
      <sheetName val="Fixed_ZBB21"/>
      <sheetName val="E_法规NC21"/>
      <sheetName val="3_ISo_YTD21"/>
      <sheetName val="Données_LMU21"/>
      <sheetName val="Brazil_Sovereign21"/>
      <sheetName val="Resumen_Costo21"/>
      <sheetName val="Base_de_Dados21"/>
      <sheetName val="Extract_Loss21"/>
      <sheetName val="5_121"/>
      <sheetName val="QA_跟踪记录表21"/>
      <sheetName val="RG_Depots21"/>
      <sheetName val="material_data21"/>
      <sheetName val="other_data21"/>
      <sheetName val="Como_Estamos21"/>
      <sheetName val="Database_(RUR)Mar_YTD21"/>
      <sheetName val="SKU_Mapping21"/>
      <sheetName val="Drop_Down21"/>
      <sheetName val="Raw_Data21"/>
      <sheetName val="EBM-2_GHQ21"/>
      <sheetName val="Base_PEF22"/>
      <sheetName val="Controls_data23"/>
      <sheetName val="Testing_Template_Guidance21"/>
      <sheetName val="Test_Programs21"/>
      <sheetName val="Dados_BLP21"/>
      <sheetName val="FJJX_Bud_IB20"/>
      <sheetName val="JOB_PROFILE_-_LAS21"/>
      <sheetName val="ARdistr_(2)21"/>
      <sheetName val="look-up_data20"/>
      <sheetName val="Prd_Hierarchy(产品层级)20"/>
      <sheetName val="Com_(2PK)20"/>
      <sheetName val="Project_Code20"/>
      <sheetName val="요일_테이블21"/>
      <sheetName val="요일_테이블_(2)20"/>
      <sheetName val="Prd_Hierarchy(产品层次)20"/>
      <sheetName val="전사_PL22"/>
      <sheetName val="자금_제외_PL22"/>
      <sheetName val="자금_PL22"/>
      <sheetName val="전사_BS22"/>
      <sheetName val="자금_제외_BS22"/>
      <sheetName val="자금_BS22"/>
      <sheetName val="BS_계정_설명22"/>
      <sheetName val="_Cash_Flow(전사)22"/>
      <sheetName val="_Cash_Flow(자금제외)22"/>
      <sheetName val="_Cash_Flow(자금)22"/>
      <sheetName val="ROIC_22"/>
      <sheetName val="인건비_명세22"/>
      <sheetName val="판관비_명세22"/>
      <sheetName val="OH_Cost경비(내역)22"/>
      <sheetName val="OH_Cost경비(배부기준)22"/>
      <sheetName val="기타수지&amp;특별손익_명세22"/>
      <sheetName val="업무연락_(2)21"/>
      <sheetName val="제시_손익계산서21"/>
      <sheetName val="01_02월_성과급22"/>
      <sheetName val="M_7회차_담금_계획21"/>
      <sheetName val="팀별_실적21"/>
      <sheetName val="팀별_실적_(환산)21"/>
      <sheetName val="4__Inj_투자상세내역21"/>
      <sheetName val="3__Blow_투자_상세내역21"/>
      <sheetName val="Process_List21"/>
      <sheetName val="7_(2)21"/>
      <sheetName val="_손익기01_XL20"/>
      <sheetName val="drop_down_list20"/>
      <sheetName val="Income_Stmt20"/>
      <sheetName val="[손익기01_XL_x005f_x0000__x005f_x0000_DePara20"/>
      <sheetName val="Quarterly_LBO_Model20"/>
      <sheetName val="[손익기01_XL20"/>
      <sheetName val="_손익기01_XL_x005f_x0000__x005f_x0000_DePara20"/>
      <sheetName val="15년_BL_사계20"/>
      <sheetName val="1_종합손익(도급)20"/>
      <sheetName val="1_종합손익(주택,개발)20"/>
      <sheetName val="2_실행예산20"/>
      <sheetName val="2_2과부족20"/>
      <sheetName val="2_3원가절감20"/>
      <sheetName val="8_외주비집행현황20"/>
      <sheetName val="9_자재비20"/>
      <sheetName val="10_현장집행20"/>
      <sheetName val="3_추가원가20"/>
      <sheetName val="3_추가원가_(2)20"/>
      <sheetName val="4_사전공사20"/>
      <sheetName val="5_추정공사비20"/>
      <sheetName val="6_금융비용20"/>
      <sheetName val="7_공사비집행현황(총괄)20"/>
      <sheetName val="11_1생산성20"/>
      <sheetName val="11_2인원산출20"/>
      <sheetName val="Figures_Report19"/>
      <sheetName val="Classification_分类19"/>
      <sheetName val="Set_Up20"/>
      <sheetName val="Perf__Plan__Diário119"/>
      <sheetName val="In_(2)19"/>
      <sheetName val="Fare_prices19"/>
      <sheetName val="Hotel_prices19"/>
      <sheetName val="tab_STATUS_DO_PROCESSO_19"/>
      <sheetName val="Clasif_18"/>
      <sheetName val="Cond__Inseguros18"/>
      <sheetName val="Comp__Inseguros18"/>
      <sheetName val="Lista_de_datos18"/>
      <sheetName val="MASTER_APP18"/>
      <sheetName val="CLASIFICACION_DE_AI19"/>
      <sheetName val="Base_da_Datos19"/>
      <sheetName val="__한국_AMP_ASP-23_판매가격__19"/>
      <sheetName val="CC_Down_load_071619"/>
      <sheetName val="변경실행(2차)_19"/>
      <sheetName val="나_출고19"/>
      <sheetName val="나_입고19"/>
      <sheetName val="09년_인건비(속리산)19"/>
      <sheetName val="합산목표(감가+57_5)19"/>
      <sheetName val="제조원가_원단위_분석19"/>
      <sheetName val="종합표양식(품의_&amp;_입고)_219"/>
      <sheetName val="원가관리_(동월대비)19"/>
      <sheetName val="b_balju_(2)19"/>
      <sheetName val="2-2_매출분석19"/>
      <sheetName val="몰드시스템_리스트19"/>
      <sheetName val="11_외화채무증권(AFS,HTM)0819"/>
      <sheetName val="13_감액TEST_0819"/>
      <sheetName val="12년_CF(9월)19"/>
      <sheetName val="중기조종사_단위단가19"/>
      <sheetName val="6PILE__(돌출)19"/>
      <sheetName val="기성청구_공문19"/>
      <sheetName val="Sheet1_(2)19"/>
      <sheetName val="slide_24_cat_A19"/>
      <sheetName val="slide_82_cat_b19"/>
      <sheetName val="Dados_dos_Produtos19"/>
      <sheetName val="Base_de_Datos18"/>
      <sheetName val="Farol_Acciones18"/>
      <sheetName val="Lista_de_Entrenamientos18"/>
      <sheetName val="09~10년_매출계획19"/>
      <sheetName val="1_MDF1공장19"/>
      <sheetName val="Unidades_SAC-REVENDA19"/>
      <sheetName val="FornecM_Check17"/>
      <sheetName val="Incident_유형구분표19"/>
      <sheetName val="3YP2016-Bottom_up18"/>
      <sheetName val="DD_list19"/>
      <sheetName val="Lista_CI18"/>
      <sheetName val="2_카드채권(대출포함)18"/>
      <sheetName val="表21_净利润调节表18"/>
      <sheetName val="Supply_Cost_Centers18"/>
      <sheetName val="Estratificación_AI17"/>
      <sheetName val="condicion_inseguras17"/>
      <sheetName val="Actos_Inseguros17"/>
      <sheetName val="Control_de_incidentes17"/>
      <sheetName val="Plan_de_Acción17"/>
      <sheetName val="_DD_List18"/>
      <sheetName val="Share_Price_200218"/>
      <sheetName val="[손익기01_XL??DePara17"/>
      <sheetName val="Farol_Metas17"/>
      <sheetName val="Mod_Relac_17"/>
      <sheetName val="TOP_KPIs_MTM17"/>
      <sheetName val="PLAN_DE_ACCION17"/>
      <sheetName val="Faro_de_Indicadores17"/>
      <sheetName val="Grafica_Actos17"/>
      <sheetName val="Condiciones_SyE17"/>
      <sheetName val="REALxMETA_-_CERVEJA19"/>
      <sheetName val="REALxMETA_-_REFRI19"/>
      <sheetName val="BEP_加薪_KPI17"/>
      <sheetName val="Dashboard_Prevención_Riesgos_17"/>
      <sheetName val="Directrices_de_Metas_201717"/>
      <sheetName val="Issues_List_Payments17"/>
      <sheetName val="POC_LIST17"/>
      <sheetName val="Entity_Target17"/>
      <sheetName val="do_not_delete17"/>
      <sheetName val="_손익기01_XL_x005f_x005f_x005f_x0000__x005f_x005f_17"/>
      <sheetName val="Hazards_Analysis-隐患分析17"/>
      <sheetName val="F08_-_Asia_Pac_Full_Year_Q318"/>
      <sheetName val="Top_Priorities18"/>
      <sheetName val="Listco_Stock18"/>
      <sheetName val="Intl_Purchase18"/>
      <sheetName val="FY_outlook18"/>
      <sheetName val="CY_outlook18"/>
      <sheetName val="Cash_metrics18"/>
      <sheetName val="P6_718"/>
      <sheetName val="DATOS_BASE17"/>
      <sheetName val="97_사업추정(WEKI)17"/>
      <sheetName val="Tong_hop17"/>
      <sheetName val="95_1_1이후취득자산(숨기기상태)17"/>
      <sheetName val="sum1_(2)17"/>
      <sheetName val="3_바닥판설계17"/>
      <sheetName val="6월_공정외주17"/>
      <sheetName val="2_대외공문17"/>
      <sheetName val="2_총괄표17"/>
      <sheetName val="입출재고현황_(2)17"/>
      <sheetName val="504전기실_동부하-L17"/>
      <sheetName val="OUTER_AREA(겹침없음)17"/>
      <sheetName val="EL_표면적17"/>
      <sheetName val="TRE_TABLE17"/>
      <sheetName val="입찰내역_발주처_양식17"/>
      <sheetName val="De_Para16"/>
      <sheetName val="DETALLE_MENSUAL17"/>
      <sheetName val="Check_Qualidade15"/>
      <sheetName val="Check_Aderencia15"/>
      <sheetName val="Data_validation17"/>
      <sheetName val="SKU_Basic_Data17"/>
      <sheetName val="Ventas_Campo15"/>
      <sheetName val="APAC_S17"/>
      <sheetName val="APAC_N17"/>
      <sheetName val="Slide_output17"/>
      <sheetName val="turnover_reason퇴직사유17"/>
      <sheetName val="Base_Farol15"/>
      <sheetName val="Gerencial_IL15"/>
      <sheetName val="VALIDACION_DE_DATOS16"/>
      <sheetName val="ACTOS_POR_RIESGO15"/>
      <sheetName val="Nombre_de_SOP15"/>
      <sheetName val="drop_lists15"/>
      <sheetName val="KPIs_Hana15"/>
      <sheetName val="Catalago_de_refacciones_15"/>
      <sheetName val="Existencias_al_07-Nov-201215"/>
      <sheetName val="Check_GG15"/>
      <sheetName val="Drop-down_List16"/>
      <sheetName val="by_DD16"/>
      <sheetName val="Jul-Sep_Actual_cost_(2)16"/>
      <sheetName val="MRL_NON_SUPPLY_URU15"/>
      <sheetName val="AIIM_-_Empresas_Ext_201215"/>
      <sheetName val="Ta_15"/>
      <sheetName val="2__Indicadores15"/>
      <sheetName val="_손익기01_XL_x005f_x0000__x015"/>
      <sheetName val="부재료_비교(11년_vs_10년)15"/>
      <sheetName val="Lista_de_Entrenamientos_RSO15"/>
      <sheetName val="Tablero_SDG18"/>
      <sheetName val="Lista_Areas18"/>
      <sheetName val="One_Page18"/>
      <sheetName val="Sub-Productos_HN16"/>
      <sheetName val="Eficiencia_linea15"/>
      <sheetName val="_mngt_Pillar15"/>
      <sheetName val="Comp_Inseguros14"/>
      <sheetName val="Pauta_RPS_Distribuição14"/>
      <sheetName val="Estoque_(2)14"/>
      <sheetName val="Sheet3_(2)15"/>
      <sheetName val="Lao_&amp;_Cam15"/>
      <sheetName val="Hoegaarden_201915"/>
      <sheetName val="Lao_&amp;_Cam_201915"/>
      <sheetName val="Malaysia_201915"/>
      <sheetName val="Singapore_201915"/>
      <sheetName val="Sheet2_(2)15"/>
      <sheetName val="요일_테이블_15"/>
      <sheetName val="Other_Listings15"/>
      <sheetName val="BNR_2012_в_ящике14"/>
      <sheetName val="FX_Rates13"/>
      <sheetName val="Vagas_x_Candidatos13"/>
      <sheetName val="Análise_Tempos10"/>
      <sheetName val="__한국_AMP_ASP-23_판㧤가격__13"/>
      <sheetName val="11_䡸화채무줝ⴌ(AFS,HTM)0813"/>
      <sheetName val="Drop_list13"/>
      <sheetName val="DO_NOT_MOVE14"/>
      <sheetName val="DATOS_DE_VALIDACIÓN14"/>
      <sheetName val="Datos_con14"/>
      <sheetName val="_Datos_Cond_14"/>
      <sheetName val="INGRESO_(2)14"/>
      <sheetName val="PG-K1610_(UEN_Areas)MNG14"/>
      <sheetName val="DATOS_GEN_14"/>
      <sheetName val="NUEVOS_CRITERIOS14"/>
      <sheetName val="Condiciones_Agua14"/>
      <sheetName val="Dropdown_list13"/>
      <sheetName val="Proced_13"/>
      <sheetName val="Cut_Machine_Summary13"/>
      <sheetName val="Validação_de_Dados10"/>
      <sheetName val="Control_de_Fallas13"/>
      <sheetName val="Setup_for_Templates13"/>
      <sheetName val="Datos_emp13"/>
      <sheetName val="Validation_lists13"/>
      <sheetName val="TIPO_DE_ACTO13"/>
      <sheetName val="CRITICIDAD_DE_CI13"/>
      <sheetName val="Catálogo_de_CI13"/>
      <sheetName val="%_CUMPLIMIENTO13"/>
      <sheetName val="%_cumplimiento_13"/>
      <sheetName val="CALIFICACIONES_201911"/>
      <sheetName val="Lev_4_360_deg_check_Crit_Task11"/>
      <sheetName val="Lev_4_Chk_IC_Stock_Crit_Task11"/>
      <sheetName val="Lev_4_WMS_Putaway_Crit_Task11"/>
      <sheetName val="No_llenar_10"/>
      <sheetName val="Listas_y_equipos_a_evaluar13"/>
      <sheetName val="Data_Reporte13"/>
      <sheetName val="Read_me13"/>
      <sheetName val="Daily_Dashboard13"/>
      <sheetName val="Champions_List12"/>
      <sheetName val="NAZ_Strategy11"/>
      <sheetName val="Lista_de_Motivos10"/>
      <sheetName val="Ponto_Crítico_-_Resp__Plano10"/>
      <sheetName val="Lista_Funcionários_(2)10"/>
      <sheetName val="Mapeo_SKUs13"/>
      <sheetName val="Vol_(Ds)13"/>
      <sheetName val="Vol_(Ka)13"/>
      <sheetName val="Vol_(Oth)13"/>
      <sheetName val="Vol_(Oth)_Cortesias13"/>
      <sheetName val="INPUT-Cust_Sugg_Margin(Ds)13"/>
      <sheetName val="On_Invoice13"/>
      <sheetName val="INPUT-Cust_Sugg_Margin(Ka)13"/>
      <sheetName val="INPUT_SKUs13"/>
      <sheetName val="Brand_P&amp;L11"/>
      <sheetName val="SUPERMONT_P11"/>
      <sheetName val="Data_selection11"/>
      <sheetName val="Customer_&amp;_SO11"/>
      <sheetName val="Session_Proposal11"/>
      <sheetName val="PDA_BOP10"/>
      <sheetName val="Incentivo_Automóvil10"/>
      <sheetName val="PAINEL_RECOLHA_CRÉDITO10"/>
      <sheetName val="Gráficos_-_CDD10"/>
      <sheetName val="Razão_Social7"/>
      <sheetName val="Status_de_Usuario8"/>
      <sheetName val="Listas_desplegables8"/>
      <sheetName val="Resumen_General8"/>
      <sheetName val="Cátalogo_de_CI8"/>
      <sheetName val="Hoja2_(2)8"/>
      <sheetName val="Technology_check_list8"/>
      <sheetName val="Actos_y_Condiciones_8"/>
      <sheetName val="NO_BORRAR8"/>
      <sheetName val="Project_List9"/>
      <sheetName val="Dropdown_Menu9"/>
      <sheetName val="SOP_Freshness8"/>
      <sheetName val="유류대_현황8"/>
      <sheetName val="Выпадающие_списки9"/>
      <sheetName val="2_3_Projects_Status8"/>
      <sheetName val="mapping_(2)8"/>
      <sheetName val="Ref_8"/>
      <sheetName val="PROCESS_MD10"/>
      <sheetName val="Formato_checklist_Lab8"/>
      <sheetName val="1__템플릿8"/>
      <sheetName val="2__작성_참고사항8"/>
      <sheetName val="Master_Data8"/>
      <sheetName val="Consolidated_Project_List8"/>
      <sheetName val="Fixed_Cost8"/>
      <sheetName val="Dimension_IN_Sheet1!D19128"/>
      <sheetName val="Dimension_IN_19128"/>
      <sheetName val="Manage_to_Sustain7"/>
      <sheetName val="Packages_Info7"/>
      <sheetName val="Meeting_List7"/>
      <sheetName val="3__Training_&amp;_travel7"/>
      <sheetName val="FILIAL_MINAS7"/>
      <sheetName val="2020_MMR127"/>
      <sheetName val="입문_트랜드(종합분석)7"/>
      <sheetName val="Master_CE7"/>
      <sheetName val="CE_Final_7"/>
      <sheetName val="OL_LIST7"/>
      <sheetName val="YTD_GUEST_LIST7"/>
      <sheetName val="Session_Full_list7"/>
      <sheetName val="FOOD_PAYMENT_update_JAN7"/>
      <sheetName val="Rate_card_F19_7"/>
      <sheetName val="Master_Plan__(update)7"/>
      <sheetName val="The_KPI_7"/>
      <sheetName val="Mentor_Plan_7"/>
      <sheetName val="Master_Plan_7"/>
      <sheetName val="Tier_1_GOV_PC_Networking_7"/>
      <sheetName val="Tier_1_LBO_7"/>
      <sheetName val="Preferred_Option7"/>
      <sheetName val="_손익기01_XL_x005f_x0000__x005f_x005f_x07"/>
      <sheetName val="info_for_drop_box7"/>
      <sheetName val="KPIs-_TTP,_PTP,_People_Turnove7"/>
      <sheetName val="1월_목표7"/>
      <sheetName val="POCM_배송지7"/>
      <sheetName val="_5"/>
      <sheetName val="Mapping_5"/>
      <sheetName val="WS_DB5"/>
      <sheetName val="Region_5"/>
      <sheetName val="SKU_DB5"/>
      <sheetName val="SAP_info5"/>
      <sheetName val="Target_Book5"/>
      <sheetName val="10_麦汁CIP清洗标准水量5"/>
      <sheetName val="Lista_AI5"/>
      <sheetName val="COE_Scope_-_Strategic_Projects5"/>
      <sheetName val="SEGUIMIENTO_SEMANAL5"/>
      <sheetName val="Resumen_(hL_env)5"/>
      <sheetName val="Tipo_Viaje5"/>
      <sheetName val="Flota_y_Personal5"/>
      <sheetName val="데이터_유효성_목록5"/>
      <sheetName val="Ref_New_Contract_Model5"/>
      <sheetName val="Name_List5"/>
      <sheetName val="Back_Data_17"/>
      <sheetName val="2_주요계수총괄7"/>
      <sheetName val="외주현황_wq16"/>
      <sheetName val="P_M_별8"/>
      <sheetName val="대투_보관자료_변경6"/>
      <sheetName val="Project_Brief7"/>
      <sheetName val="단면_(2)7"/>
      <sheetName val="부대시행1_(2)6"/>
      <sheetName val="1_차입금6"/>
      <sheetName val="근거_및_가정6"/>
      <sheetName val="118_세금과공과7"/>
      <sheetName val="_견적서6"/>
      <sheetName val="Facility_Information7"/>
      <sheetName val="1_본사계정별7"/>
      <sheetName val="3_6_2남양주택배6"/>
      <sheetName val="해외_기술훈련비_(합계)7"/>
      <sheetName val="설산1_나6"/>
      <sheetName val="PAD_TR보호대기초6"/>
      <sheetName val="1월_예산6"/>
      <sheetName val="Utility_Usage_YTN_TOWER6"/>
      <sheetName val="1__시공측량6"/>
      <sheetName val="수종별수량_(2)6"/>
      <sheetName val="전선_및_전선관6"/>
      <sheetName val="설문_평가6"/>
      <sheetName val="B-1_기본정보6"/>
      <sheetName val="납부내역총괄표_(수정)6"/>
      <sheetName val="#1)_투자_구분6"/>
      <sheetName val="Rev__Recon_15"/>
      <sheetName val="1_고객불만건수5"/>
      <sheetName val="1_변경범위5"/>
      <sheetName val="Weekly_Progress(계장)6"/>
      <sheetName val="2013_2월_연결대상6"/>
      <sheetName val="2-2_투자6"/>
      <sheetName val="Proj__Fin_6"/>
      <sheetName val="ITS_Assumptions5"/>
      <sheetName val="7_Utility_Analysis5"/>
      <sheetName val="Operational_Activities5"/>
      <sheetName val="13_포장용역비표준6"/>
      <sheetName val="9_가공부자재표준6"/>
      <sheetName val="8_ROLL표준(TSW)6"/>
      <sheetName val="4_톤당조관량표준6"/>
      <sheetName val="5_조관부자재표준6"/>
      <sheetName val="KEY_CODE6"/>
      <sheetName val="2-1_강사료,교통비_지급명세6"/>
      <sheetName val="HQ_급여_5"/>
      <sheetName val="OF_급여5"/>
      <sheetName val="F_Ma급여5"/>
      <sheetName val="SMT_급여5"/>
      <sheetName val="QC_급여5"/>
      <sheetName val="Sam_sung_급여5"/>
      <sheetName val="Dlock_급여5"/>
      <sheetName val="_thôi_việc_급여5"/>
      <sheetName val="Công_smt5"/>
      <sheetName val="Công_smt_(2)5"/>
      <sheetName val="Detail_smt5"/>
      <sheetName val="Công_QC5"/>
      <sheetName val="Detail_QC_5"/>
      <sheetName val="Công_SS5"/>
      <sheetName val="Detail_SS5"/>
      <sheetName val="Công_FMa5"/>
      <sheetName val="Detail_FMa5"/>
      <sheetName val="Công_OF5"/>
      <sheetName val="Detail_OF5"/>
      <sheetName val="Công_Dlock5"/>
      <sheetName val="Detail_Dlock5"/>
      <sheetName val="Công_thôi_việc5"/>
      <sheetName val="Detail_thôi5"/>
      <sheetName val="C1_3_15"/>
      <sheetName val="실행기성_갑지6"/>
      <sheetName val="Eq__Mobilization5"/>
      <sheetName val="1__작성방식5"/>
      <sheetName val="표)CFT장_조직별_배분5"/>
      <sheetName val="20180214_P&amp;T5"/>
      <sheetName val="Ref__중점_추진_과제별_상세5"/>
      <sheetName val="2_6_三无_(2)5"/>
      <sheetName val="수량산출서_갑지5"/>
      <sheetName val="G_R300경비5"/>
      <sheetName val="AS포장복구_5"/>
      <sheetName val="설_계5"/>
      <sheetName val="Worker_List5"/>
      <sheetName val="GB-IC_Villingen_GG5"/>
      <sheetName val="6월_공嚺㓶가5"/>
      <sheetName val="Exchange_rate5"/>
      <sheetName val="업무_분류(Category)5"/>
      <sheetName val="준검_내역서5"/>
      <sheetName val="날개수량1_55"/>
      <sheetName val="F_월별기성수금현황_5"/>
      <sheetName val="기초정보_코드5"/>
      <sheetName val="#1_Basic5"/>
      <sheetName val="첨부#2_Cash_Flow(현장작성)5"/>
      <sheetName val="3_일반사상5"/>
      <sheetName val="Bank_code5"/>
      <sheetName val="Drop-down_RAW5"/>
      <sheetName val="산자사_운전용품5"/>
      <sheetName val="보고서_표5"/>
      <sheetName val="0__가정_및_결론5"/>
      <sheetName val="1__투자비5"/>
      <sheetName val="2__Rent-roll5"/>
      <sheetName val="3__Funding5"/>
      <sheetName val="4__운영수익5"/>
      <sheetName val="5__운영비용5"/>
      <sheetName val="6_1_N+1년차_NOI_산정5"/>
      <sheetName val="6__부동산매각5"/>
      <sheetName val="7__보유세5"/>
      <sheetName val="8__교통유발부담금5"/>
      <sheetName val="9__BS부속5"/>
      <sheetName val="10__CF(M)5"/>
      <sheetName val="11__IS(M)5"/>
      <sheetName val="12__BS(M)5"/>
      <sheetName val="14__IS(FY)5"/>
      <sheetName val="13__CF(FY)5"/>
      <sheetName val="15__BS(FY)5"/>
      <sheetName val="16__RE(FY)5"/>
      <sheetName val="4_1_월별_에너지_사용량5"/>
      <sheetName val="조도계산서_(도서)5"/>
      <sheetName val="A(Rev_3)5"/>
      <sheetName val="STRAT_PLAN_WKSHT6"/>
      <sheetName val="Sales_Plan_&amp;_other6"/>
      <sheetName val="drop_downs5"/>
      <sheetName val="Basic_Information5"/>
      <sheetName val="7300-1000_116"/>
      <sheetName val="PJT_현황5"/>
      <sheetName val="진행_DATA_(2)5"/>
      <sheetName val="참고)_기준정보5"/>
      <sheetName val="Long_Term_Prices5"/>
      <sheetName val="구분_Table5"/>
      <sheetName val="역T형옹벽(3_0)5"/>
      <sheetName val="외상매출금현황-수정분_A25"/>
      <sheetName val="PF_현황(11년12월)5"/>
      <sheetName val="TO_TTZ5"/>
      <sheetName val="CATÁLOGO_DE_PELIGROS5"/>
      <sheetName val="RyNV_detectados_5"/>
      <sheetName val="Curva_20215"/>
      <sheetName val="Por_PPR6"/>
      <sheetName val="_손익기01_XL__DePara14"/>
      <sheetName val="입찰내역_Ĉ5"/>
      <sheetName val="match_list5"/>
      <sheetName val="Q4_20185"/>
      <sheetName val="Q4_20195"/>
      <sheetName val="Q4_Sum5"/>
      <sheetName val="2020_KPI_LE05"/>
      <sheetName val="Rate_data5"/>
      <sheetName val="Template_HN5"/>
      <sheetName val="KPI_need_to_input5"/>
      <sheetName val="강남_CRM_11월5"/>
      <sheetName val="CRITERIOS_DE_AI5"/>
      <sheetName val="Nigeria_&amp;_Ghana5"/>
      <sheetName val="DEX_(2)4"/>
      <sheetName val="Manual_Database4"/>
      <sheetName val="_손익기01_XL_x005f_x005f_x005"/>
      <sheetName val="TO_Data_Base30"/>
      <sheetName val="YTD_Summary29"/>
      <sheetName val="Month_Summary29"/>
      <sheetName val="Trial_Balance_MAY_200929"/>
      <sheetName val="TB_Pivot29"/>
      <sheetName val="total_per_LB_LB229"/>
      <sheetName val="Trial_Balance_Vlookup29"/>
      <sheetName val="Trial_Balance_APRIL_200929"/>
      <sheetName val="Roll_Out_AQ29"/>
      <sheetName val="Evolução_mandamentos29"/>
      <sheetName val="Planilha_resultados28"/>
      <sheetName val="Historico_200328"/>
      <sheetName val="Sig_Cycles_Accts_&amp;_Processes28"/>
      <sheetName val="Fixed_ZBB22"/>
      <sheetName val="E_法规NC22"/>
      <sheetName val="3_ISo_YTD22"/>
      <sheetName val="Données_LMU22"/>
      <sheetName val="Brazil_Sovereign22"/>
      <sheetName val="Resumen_Costo22"/>
      <sheetName val="Base_de_Dados22"/>
      <sheetName val="Extract_Loss22"/>
      <sheetName val="5_122"/>
      <sheetName val="QA_跟踪记录表22"/>
      <sheetName val="RG_Depots22"/>
      <sheetName val="material_data22"/>
      <sheetName val="other_data22"/>
      <sheetName val="Como_Estamos22"/>
      <sheetName val="Database_(RUR)Mar_YTD22"/>
      <sheetName val="SKU_Mapping22"/>
      <sheetName val="Drop_Down22"/>
      <sheetName val="Raw_Data22"/>
      <sheetName val="EBM-2_GHQ22"/>
      <sheetName val="Base_PEF23"/>
      <sheetName val="Controls_data24"/>
      <sheetName val="Testing_Template_Guidance22"/>
      <sheetName val="Test_Programs22"/>
      <sheetName val="Dados_BLP22"/>
      <sheetName val="FJJX_Bud_IB21"/>
      <sheetName val="JOB_PROFILE_-_LAS22"/>
      <sheetName val="ARdistr_(2)22"/>
      <sheetName val="look-up_data21"/>
      <sheetName val="Prd_Hierarchy(产品层级)21"/>
      <sheetName val="Com_(2PK)21"/>
      <sheetName val="Project_Code21"/>
      <sheetName val="요일_테이블22"/>
      <sheetName val="요일_테이블_(2)21"/>
      <sheetName val="Prd_Hierarchy(产品层次)21"/>
      <sheetName val="전사_PL23"/>
      <sheetName val="자금_제외_PL23"/>
      <sheetName val="자금_PL23"/>
      <sheetName val="전사_BS23"/>
      <sheetName val="자금_제외_BS23"/>
      <sheetName val="자금_BS23"/>
      <sheetName val="BS_계정_설명23"/>
      <sheetName val="_Cash_Flow(전사)23"/>
      <sheetName val="_Cash_Flow(자금제외)23"/>
      <sheetName val="_Cash_Flow(자금)23"/>
      <sheetName val="ROIC_23"/>
      <sheetName val="인건비_명세23"/>
      <sheetName val="판관비_명세23"/>
      <sheetName val="OH_Cost경비(내역)23"/>
      <sheetName val="OH_Cost경비(배부기준)23"/>
      <sheetName val="기타수지&amp;특별손익_명세23"/>
      <sheetName val="업무연락_(2)22"/>
      <sheetName val="제시_손익계산서22"/>
      <sheetName val="01_02월_성과급23"/>
      <sheetName val="M_7회차_담금_계획22"/>
      <sheetName val="팀별_실적22"/>
      <sheetName val="팀별_실적_(환산)22"/>
      <sheetName val="4__Inj_투자상세내역22"/>
      <sheetName val="3__Blow_투자_상세내역22"/>
      <sheetName val="Process_List22"/>
      <sheetName val="7_(2)22"/>
      <sheetName val="_손익기01_XL21"/>
      <sheetName val="drop_down_list21"/>
      <sheetName val="Income_Stmt21"/>
      <sheetName val="[손익기01_XL_x005f_x0000__x005f_x0000_DePara21"/>
      <sheetName val="Quarterly_LBO_Model21"/>
      <sheetName val="[손익기01_XL21"/>
      <sheetName val="_손익기01_XL_x005f_x0000__x005f_x0000_DePara21"/>
      <sheetName val="15년_BL_사계21"/>
      <sheetName val="1_종합손익(도급)21"/>
      <sheetName val="1_종합손익(주택,개발)21"/>
      <sheetName val="2_실행예산21"/>
      <sheetName val="2_2과부족21"/>
      <sheetName val="2_3원가절감21"/>
      <sheetName val="8_외주비집행현황21"/>
      <sheetName val="9_자재비21"/>
      <sheetName val="10_현장집행21"/>
      <sheetName val="3_추가원가21"/>
      <sheetName val="3_추가원가_(2)21"/>
      <sheetName val="4_사전공사21"/>
      <sheetName val="5_추정공사비21"/>
      <sheetName val="6_금융비용21"/>
      <sheetName val="7_공사비집행현황(총괄)21"/>
      <sheetName val="11_1생산성21"/>
      <sheetName val="11_2인원산출21"/>
      <sheetName val="Figures_Report20"/>
      <sheetName val="Classification_分类20"/>
      <sheetName val="Set_Up21"/>
      <sheetName val="Perf__Plan__Diário120"/>
      <sheetName val="In_(2)20"/>
      <sheetName val="Fare_prices20"/>
      <sheetName val="Hotel_prices20"/>
      <sheetName val="tab_STATUS_DO_PROCESSO_20"/>
      <sheetName val="Clasif_19"/>
      <sheetName val="Cond__Inseguros19"/>
      <sheetName val="Comp__Inseguros19"/>
      <sheetName val="Lista_de_datos19"/>
      <sheetName val="MASTER_APP19"/>
      <sheetName val="CLASIFICACION_DE_AI20"/>
      <sheetName val="Base_da_Datos20"/>
      <sheetName val="__한국_AMP_ASP-23_판매가격__20"/>
      <sheetName val="CC_Down_load_071620"/>
      <sheetName val="변경실행(2차)_20"/>
      <sheetName val="나_출고20"/>
      <sheetName val="나_입고20"/>
      <sheetName val="09년_인건비(속리산)20"/>
      <sheetName val="합산목표(감가+57_5)20"/>
      <sheetName val="제조원가_원단위_분석20"/>
      <sheetName val="종합표양식(품의_&amp;_입고)_220"/>
      <sheetName val="원가관리_(동월대비)20"/>
      <sheetName val="b_balju_(2)20"/>
      <sheetName val="2-2_매출분석20"/>
      <sheetName val="몰드시스템_리스트20"/>
      <sheetName val="11_외화채무증권(AFS,HTM)0820"/>
      <sheetName val="13_감액TEST_0820"/>
      <sheetName val="12년_CF(9월)20"/>
      <sheetName val="중기조종사_단위단가20"/>
      <sheetName val="6PILE__(돌출)20"/>
      <sheetName val="기성청구_공문20"/>
      <sheetName val="Sheet1_(2)20"/>
      <sheetName val="slide_24_cat_A20"/>
      <sheetName val="slide_82_cat_b20"/>
      <sheetName val="Dados_dos_Produtos20"/>
      <sheetName val="Base_de_Datos19"/>
      <sheetName val="Farol_Acciones19"/>
      <sheetName val="Lista_de_Entrenamientos19"/>
      <sheetName val="09~10년_매출계획20"/>
      <sheetName val="1_MDF1공장20"/>
      <sheetName val="Unidades_SAC-REVENDA20"/>
      <sheetName val="FornecM_Check18"/>
      <sheetName val="Incident_유형구분표20"/>
      <sheetName val="3YP2016-Bottom_up19"/>
      <sheetName val="DD_list20"/>
      <sheetName val="Lista_CI19"/>
      <sheetName val="2_카드채권(대출포함)19"/>
      <sheetName val="表21_净利润调节表19"/>
      <sheetName val="Supply_Cost_Centers19"/>
      <sheetName val="Estratificación_AI18"/>
      <sheetName val="condicion_inseguras18"/>
      <sheetName val="Actos_Inseguros18"/>
      <sheetName val="Control_de_incidentes18"/>
      <sheetName val="Plan_de_Acción18"/>
      <sheetName val="_DD_List19"/>
      <sheetName val="Share_Price_200219"/>
      <sheetName val="[손익기01_XL??DePara18"/>
      <sheetName val="Farol_Metas18"/>
      <sheetName val="Mod_Relac_18"/>
      <sheetName val="TOP_KPIs_MTM18"/>
      <sheetName val="PLAN_DE_ACCION18"/>
      <sheetName val="Faro_de_Indicadores18"/>
      <sheetName val="Grafica_Actos18"/>
      <sheetName val="Condiciones_SyE18"/>
      <sheetName val="REALxMETA_-_CERVEJA20"/>
      <sheetName val="REALxMETA_-_REFRI20"/>
      <sheetName val="BEP_加薪_KPI18"/>
      <sheetName val="Dashboard_Prevención_Riesgos_18"/>
      <sheetName val="Directrices_de_Metas_201718"/>
      <sheetName val="Issues_List_Payments18"/>
      <sheetName val="POC_LIST18"/>
      <sheetName val="Entity_Target18"/>
      <sheetName val="do_not_delete18"/>
      <sheetName val="_손익기01_XL_x005f_x005f_x005f_x0000__x005f_x005f_18"/>
      <sheetName val="Hazards_Analysis-隐患分析18"/>
      <sheetName val="F08_-_Asia_Pac_Full_Year_Q319"/>
      <sheetName val="Top_Priorities19"/>
      <sheetName val="Listco_Stock19"/>
      <sheetName val="Intl_Purchase19"/>
      <sheetName val="FY_outlook19"/>
      <sheetName val="CY_outlook19"/>
      <sheetName val="Cash_metrics19"/>
      <sheetName val="P6_719"/>
      <sheetName val="DATOS_BASE18"/>
      <sheetName val="97_사업추정(WEKI)18"/>
      <sheetName val="Tong_hop18"/>
      <sheetName val="95_1_1이후취득자산(숨기기상태)18"/>
      <sheetName val="sum1_(2)18"/>
      <sheetName val="3_바닥판설계18"/>
      <sheetName val="6월_공정외주18"/>
      <sheetName val="2_대외공문18"/>
      <sheetName val="2_총괄표18"/>
      <sheetName val="입출재고현황_(2)18"/>
      <sheetName val="504전기실_동부하-L18"/>
      <sheetName val="OUTER_AREA(겹침없음)18"/>
      <sheetName val="EL_표면적18"/>
      <sheetName val="TRE_TABLE18"/>
      <sheetName val="입찰내역_발주처_양식18"/>
      <sheetName val="De_Para17"/>
      <sheetName val="DETALLE_MENSUAL18"/>
      <sheetName val="Check_Qualidade16"/>
      <sheetName val="Check_Aderencia16"/>
      <sheetName val="Data_validation18"/>
      <sheetName val="SKU_Basic_Data18"/>
      <sheetName val="Ventas_Campo16"/>
      <sheetName val="APAC_S18"/>
      <sheetName val="APAC_N18"/>
      <sheetName val="Slide_output18"/>
      <sheetName val="turnover_reason퇴직사유18"/>
      <sheetName val="Base_Farol16"/>
      <sheetName val="Gerencial_IL16"/>
      <sheetName val="VALIDACION_DE_DATOS17"/>
      <sheetName val="ACTOS_POR_RIESGO16"/>
      <sheetName val="Nombre_de_SOP16"/>
      <sheetName val="drop_lists16"/>
      <sheetName val="KPIs_Hana16"/>
      <sheetName val="Catalago_de_refacciones_16"/>
      <sheetName val="Existencias_al_07-Nov-201216"/>
      <sheetName val="Check_GG16"/>
      <sheetName val="Drop-down_List17"/>
      <sheetName val="by_DD17"/>
      <sheetName val="Jul-Sep_Actual_cost_(2)17"/>
      <sheetName val="MRL_NON_SUPPLY_URU16"/>
      <sheetName val="AIIM_-_Empresas_Ext_201216"/>
      <sheetName val="Ta_16"/>
      <sheetName val="2__Indicadores16"/>
      <sheetName val="_손익기01_XL_x005f_x0000__x016"/>
      <sheetName val="부재료_비교(11년_vs_10년)16"/>
      <sheetName val="Lista_de_Entrenamientos_RSO16"/>
      <sheetName val="Tablero_SDG19"/>
      <sheetName val="Lista_Areas19"/>
      <sheetName val="One_Page19"/>
      <sheetName val="Sub-Productos_HN17"/>
      <sheetName val="Eficiencia_linea16"/>
      <sheetName val="_mngt_Pillar16"/>
      <sheetName val="Comp_Inseguros15"/>
      <sheetName val="Pauta_RPS_Distribuição15"/>
      <sheetName val="Estoque_(2)15"/>
      <sheetName val="Sheet3_(2)16"/>
      <sheetName val="Lao_&amp;_Cam16"/>
      <sheetName val="Hoegaarden_201916"/>
      <sheetName val="Lao_&amp;_Cam_201916"/>
      <sheetName val="Malaysia_201916"/>
      <sheetName val="Singapore_201916"/>
      <sheetName val="Sheet2_(2)16"/>
      <sheetName val="요일_테이블_16"/>
      <sheetName val="Other_Listings16"/>
      <sheetName val="BNR_2012_в_ящике15"/>
      <sheetName val="FX_Rates14"/>
      <sheetName val="Vagas_x_Candidatos14"/>
      <sheetName val="Análise_Tempos11"/>
      <sheetName val="__한국_AMP_ASP-23_판㧤가격__14"/>
      <sheetName val="11_䡸화채무줝ⴌ(AFS,HTM)0814"/>
      <sheetName val="Drop_list14"/>
      <sheetName val="DO_NOT_MOVE15"/>
      <sheetName val="DATOS_DE_VALIDACIÓN15"/>
      <sheetName val="Datos_con15"/>
      <sheetName val="_Datos_Cond_15"/>
      <sheetName val="INGRESO_(2)15"/>
      <sheetName val="PG-K1610_(UEN_Areas)MNG15"/>
      <sheetName val="DATOS_GEN_15"/>
      <sheetName val="NUEVOS_CRITERIOS15"/>
      <sheetName val="Condiciones_Agua15"/>
      <sheetName val="Dropdown_list14"/>
      <sheetName val="Proced_14"/>
      <sheetName val="Cut_Machine_Summary14"/>
      <sheetName val="Validação_de_Dados11"/>
      <sheetName val="Control_de_Fallas14"/>
      <sheetName val="Setup_for_Templates14"/>
      <sheetName val="Datos_emp14"/>
      <sheetName val="Validation_lists14"/>
      <sheetName val="TIPO_DE_ACTO14"/>
      <sheetName val="CRITICIDAD_DE_CI14"/>
      <sheetName val="Catálogo_de_CI14"/>
      <sheetName val="%_CUMPLIMIENTO14"/>
      <sheetName val="%_cumplimiento_14"/>
      <sheetName val="CALIFICACIONES_201912"/>
      <sheetName val="Lev_4_360_deg_check_Crit_Task12"/>
      <sheetName val="Lev_4_Chk_IC_Stock_Crit_Task12"/>
      <sheetName val="Lev_4_WMS_Putaway_Crit_Task12"/>
      <sheetName val="No_llenar_11"/>
      <sheetName val="Listas_y_equipos_a_evaluar14"/>
      <sheetName val="Data_Reporte14"/>
      <sheetName val="Read_me14"/>
      <sheetName val="Daily_Dashboard14"/>
      <sheetName val="Champions_List13"/>
      <sheetName val="NAZ_Strategy12"/>
      <sheetName val="Lista_de_Motivos11"/>
      <sheetName val="Ponto_Crítico_-_Resp__Plano11"/>
      <sheetName val="Lista_Funcionários_(2)11"/>
      <sheetName val="Mapeo_SKUs14"/>
      <sheetName val="Vol_(Ds)14"/>
      <sheetName val="Vol_(Ka)14"/>
      <sheetName val="Vol_(Oth)14"/>
      <sheetName val="Vol_(Oth)_Cortesias14"/>
      <sheetName val="INPUT-Cust_Sugg_Margin(Ds)14"/>
      <sheetName val="On_Invoice14"/>
      <sheetName val="INPUT-Cust_Sugg_Margin(Ka)14"/>
      <sheetName val="INPUT_SKUs14"/>
      <sheetName val="Brand_P&amp;L12"/>
      <sheetName val="SUPERMONT_P12"/>
      <sheetName val="Data_selection12"/>
      <sheetName val="Customer_&amp;_SO12"/>
      <sheetName val="Session_Proposal12"/>
      <sheetName val="PDA_BOP11"/>
      <sheetName val="Incentivo_Automóvil11"/>
      <sheetName val="PAINEL_RECOLHA_CRÉDITO11"/>
      <sheetName val="Gráficos_-_CDD11"/>
      <sheetName val="Razão_Social8"/>
      <sheetName val="Status_de_Usuario9"/>
      <sheetName val="Listas_desplegables9"/>
      <sheetName val="Resumen_General9"/>
      <sheetName val="Cátalogo_de_CI9"/>
      <sheetName val="Hoja2_(2)9"/>
      <sheetName val="Technology_check_list9"/>
      <sheetName val="Actos_y_Condiciones_9"/>
      <sheetName val="NO_BORRAR9"/>
      <sheetName val="Project_List10"/>
      <sheetName val="Dropdown_Menu10"/>
      <sheetName val="SOP_Freshness9"/>
      <sheetName val="유류대_현황9"/>
      <sheetName val="Выпадающие_списки10"/>
      <sheetName val="2_3_Projects_Status9"/>
      <sheetName val="mapping_(2)9"/>
      <sheetName val="Ref_9"/>
      <sheetName val="PROCESS_MD11"/>
      <sheetName val="Formato_checklist_Lab9"/>
      <sheetName val="1__템플릿9"/>
      <sheetName val="2__작성_참고사항9"/>
      <sheetName val="Master_Data9"/>
      <sheetName val="Consolidated_Project_List9"/>
      <sheetName val="Fixed_Cost9"/>
      <sheetName val="Dimension_IN_Sheet1!D19129"/>
      <sheetName val="Dimension_IN_19129"/>
      <sheetName val="Manage_to_Sustain8"/>
      <sheetName val="Packages_Info8"/>
      <sheetName val="Meeting_List8"/>
      <sheetName val="3__Training_&amp;_travel8"/>
      <sheetName val="FILIAL_MINAS8"/>
      <sheetName val="2020_MMR128"/>
      <sheetName val="입문_트랜드(종합분석)8"/>
      <sheetName val="Master_CE8"/>
      <sheetName val="CE_Final_8"/>
      <sheetName val="OL_LIST8"/>
      <sheetName val="YTD_GUEST_LIST8"/>
      <sheetName val="Session_Full_list8"/>
      <sheetName val="FOOD_PAYMENT_update_JAN8"/>
      <sheetName val="Rate_card_F19_8"/>
      <sheetName val="Master_Plan__(update)8"/>
      <sheetName val="The_KPI_8"/>
      <sheetName val="Mentor_Plan_8"/>
      <sheetName val="Master_Plan_8"/>
      <sheetName val="Tier_1_GOV_PC_Networking_8"/>
      <sheetName val="Tier_1_LBO_8"/>
      <sheetName val="Preferred_Option8"/>
      <sheetName val="_손익기01_XL_x005f_x0000__x005f_x005f_x08"/>
      <sheetName val="info_for_drop_box8"/>
      <sheetName val="KPIs-_TTP,_PTP,_People_Turnove8"/>
      <sheetName val="1월_목표8"/>
      <sheetName val="POCM_배송지8"/>
      <sheetName val="_6"/>
      <sheetName val="Mapping_6"/>
      <sheetName val="WS_DB6"/>
      <sheetName val="Region_6"/>
      <sheetName val="SKU_DB6"/>
      <sheetName val="SAP_info6"/>
      <sheetName val="Target_Book6"/>
      <sheetName val="10_麦汁CIP清洗标准水量6"/>
      <sheetName val="Lista_AI6"/>
      <sheetName val="COE_Scope_-_Strategic_Projects6"/>
      <sheetName val="SEGUIMIENTO_SEMANAL6"/>
      <sheetName val="Resumen_(hL_env)6"/>
      <sheetName val="Tipo_Viaje6"/>
      <sheetName val="Flota_y_Personal6"/>
      <sheetName val="데이터_유효성_목록6"/>
      <sheetName val="Ref_New_Contract_Model6"/>
      <sheetName val="Name_List6"/>
      <sheetName val="Back_Data_18"/>
      <sheetName val="2_주요계수총괄8"/>
      <sheetName val="외주현황_wq17"/>
      <sheetName val="P_M_별9"/>
      <sheetName val="대투_보관자료_변경7"/>
      <sheetName val="Project_Brief8"/>
      <sheetName val="단면_(2)8"/>
      <sheetName val="부대시행1_(2)7"/>
      <sheetName val="1_차입금7"/>
      <sheetName val="근거_및_가정7"/>
      <sheetName val="118_세금과공과8"/>
      <sheetName val="_견적서7"/>
      <sheetName val="Facility_Information8"/>
      <sheetName val="1_본사계정별8"/>
      <sheetName val="3_6_2남양주택배7"/>
      <sheetName val="해외_기술훈련비_(합계)8"/>
      <sheetName val="설산1_나7"/>
      <sheetName val="PAD_TR보호대기초7"/>
      <sheetName val="1월_예산7"/>
      <sheetName val="Utility_Usage_YTN_TOWER7"/>
      <sheetName val="1__시공측량7"/>
      <sheetName val="수종별수량_(2)7"/>
      <sheetName val="전선_및_전선관7"/>
      <sheetName val="설문_평가7"/>
      <sheetName val="B-1_기본정보7"/>
      <sheetName val="납부내역총괄표_(수정)7"/>
      <sheetName val="#1)_투자_구분7"/>
      <sheetName val="Rev__Recon_16"/>
      <sheetName val="1_고객불만건수6"/>
      <sheetName val="1_변경범위6"/>
      <sheetName val="Weekly_Progress(계장)7"/>
      <sheetName val="2013_2월_연결대상7"/>
      <sheetName val="2-2_투자7"/>
      <sheetName val="Proj__Fin_7"/>
      <sheetName val="ITS_Assumptions6"/>
      <sheetName val="7_Utility_Analysis6"/>
      <sheetName val="Operational_Activities6"/>
      <sheetName val="13_포장용역비표준7"/>
      <sheetName val="9_가공부자재표준7"/>
      <sheetName val="8_ROLL표준(TSW)7"/>
      <sheetName val="4_톤당조관량표준7"/>
      <sheetName val="5_조관부자재표준7"/>
      <sheetName val="KEY_CODE7"/>
      <sheetName val="2-1_강사료,교통비_지급명세7"/>
      <sheetName val="HQ_급여_6"/>
      <sheetName val="OF_급여6"/>
      <sheetName val="F_Ma급여6"/>
      <sheetName val="SMT_급여6"/>
      <sheetName val="QC_급여6"/>
      <sheetName val="Sam_sung_급여6"/>
      <sheetName val="Dlock_급여6"/>
      <sheetName val="_thôi_việc_급여6"/>
      <sheetName val="Công_smt6"/>
      <sheetName val="Công_smt_(2)6"/>
      <sheetName val="Detail_smt6"/>
      <sheetName val="Công_QC6"/>
      <sheetName val="Detail_QC_6"/>
      <sheetName val="Công_SS6"/>
      <sheetName val="Detail_SS6"/>
      <sheetName val="Công_FMa6"/>
      <sheetName val="Detail_FMa6"/>
      <sheetName val="Công_OF6"/>
      <sheetName val="Detail_OF6"/>
      <sheetName val="Công_Dlock6"/>
      <sheetName val="Detail_Dlock6"/>
      <sheetName val="Công_thôi_việc6"/>
      <sheetName val="Detail_thôi6"/>
      <sheetName val="C1_3_16"/>
      <sheetName val="실행기성_갑지7"/>
      <sheetName val="Eq__Mobilization6"/>
      <sheetName val="1__작성방식6"/>
      <sheetName val="표)CFT장_조직별_배분6"/>
      <sheetName val="20180214_P&amp;T6"/>
      <sheetName val="Ref__중점_추진_과제별_상세6"/>
      <sheetName val="2_6_三无_(2)6"/>
      <sheetName val="수량산출서_갑지6"/>
      <sheetName val="G_R300경비6"/>
      <sheetName val="AS포장복구_6"/>
      <sheetName val="설_계6"/>
      <sheetName val="Worker_List6"/>
      <sheetName val="GB-IC_Villingen_GG6"/>
      <sheetName val="6월_공嚺㓶가6"/>
      <sheetName val="Exchange_rate6"/>
      <sheetName val="업무_분류(Category)6"/>
      <sheetName val="준검_내역서6"/>
      <sheetName val="날개수량1_56"/>
      <sheetName val="F_월별기성수금현황_6"/>
      <sheetName val="기초정보_코드6"/>
      <sheetName val="#1_Basic6"/>
      <sheetName val="첨부#2_Cash_Flow(현장작성)6"/>
      <sheetName val="3_일반사상6"/>
      <sheetName val="Bank_code6"/>
      <sheetName val="Drop-down_RAW6"/>
      <sheetName val="산자사_운전용품6"/>
      <sheetName val="보고서_표6"/>
      <sheetName val="0__가정_및_결론6"/>
      <sheetName val="1__투자비6"/>
      <sheetName val="2__Rent-roll6"/>
      <sheetName val="3__Funding6"/>
      <sheetName val="4__운영수익6"/>
      <sheetName val="5__운영비용6"/>
      <sheetName val="6_1_N+1년차_NOI_산정6"/>
      <sheetName val="6__부동산매각6"/>
      <sheetName val="7__보유세6"/>
      <sheetName val="8__교통유발부담금6"/>
      <sheetName val="9__BS부속6"/>
      <sheetName val="10__CF(M)6"/>
      <sheetName val="11__IS(M)6"/>
      <sheetName val="12__BS(M)6"/>
      <sheetName val="14__IS(FY)6"/>
      <sheetName val="13__CF(FY)6"/>
      <sheetName val="15__BS(FY)6"/>
      <sheetName val="16__RE(FY)6"/>
      <sheetName val="4_1_월별_에너지_사용량6"/>
      <sheetName val="조도계산서_(도서)6"/>
      <sheetName val="A(Rev_3)6"/>
      <sheetName val="STRAT_PLAN_WKSHT7"/>
      <sheetName val="Sales_Plan_&amp;_other7"/>
      <sheetName val="drop_downs6"/>
      <sheetName val="Basic_Information6"/>
      <sheetName val="7300-1000_117"/>
      <sheetName val="PJT_현황6"/>
      <sheetName val="진행_DATA_(2)6"/>
      <sheetName val="참고)_기준정보6"/>
      <sheetName val="Long_Term_Prices6"/>
      <sheetName val="구분_Table6"/>
      <sheetName val="역T형옹벽(3_0)6"/>
      <sheetName val="외상매출금현황-수정분_A26"/>
      <sheetName val="PF_현황(11년12월)6"/>
      <sheetName val="TO_TTZ6"/>
      <sheetName val="CATÁLOGO_DE_PELIGROS6"/>
      <sheetName val="RyNV_detectados_6"/>
      <sheetName val="Curva_20216"/>
      <sheetName val="Por_PPR7"/>
      <sheetName val="_손익기01_XL__DePara15"/>
      <sheetName val="입찰내역_Ĉ6"/>
      <sheetName val="match_list6"/>
      <sheetName val="Q4_20186"/>
      <sheetName val="Q4_20196"/>
      <sheetName val="Q4_Sum6"/>
      <sheetName val="2020_KPI_LE06"/>
      <sheetName val="Rate_data6"/>
      <sheetName val="Template_HN6"/>
      <sheetName val="KPI_need_to_input6"/>
      <sheetName val="강남_CRM_11월6"/>
      <sheetName val="CRITERIOS_DE_AI6"/>
      <sheetName val="Nigeria_&amp;_Ghana6"/>
      <sheetName val="DEX_(2)5"/>
      <sheetName val="Manual_Database5"/>
      <sheetName val="_손익기01_XL_x005f_x005f_x006"/>
      <sheetName val="Project_Count1"/>
      <sheetName val="M&amp;Q_Lead1"/>
      <sheetName val="업무분장_1"/>
      <sheetName val="견적_맵1"/>
      <sheetName val="TOWER_12TON1"/>
      <sheetName val="TOWER_10TON1"/>
      <sheetName val="JIB_CRANE,HOIST1"/>
      <sheetName val="Diesel_Price_1"/>
      <sheetName val="전기요금_산출내역1"/>
      <sheetName val="노원열병합__건축공사기성내역서1"/>
      <sheetName val="문의내용_카테고리_분류(수정X)1"/>
      <sheetName val="Phieu_trinh_ky_cấu_tháp1"/>
      <sheetName val="Phieu_trinh_ky_VTP1"/>
      <sheetName val="KS-VL_rời1"/>
      <sheetName val="Tai_san1"/>
      <sheetName val="Check_dong_tien1"/>
      <sheetName val="Chi_phí_SDTS1"/>
      <sheetName val="Check_COST1"/>
      <sheetName val="DATA_HD1"/>
      <sheetName val="Tong_hop_1TM1"/>
      <sheetName val="NS_Lán_trại1"/>
      <sheetName val="Check_cong_no_NC1"/>
      <sheetName val="Investment_Category1"/>
      <sheetName val="Mot_So_Thuat_Ngu_EN-VI2"/>
      <sheetName val="시스템_개요_유효값1"/>
      <sheetName val="NG_Item1"/>
      <sheetName val="Ref__Spec_Review_양식1"/>
      <sheetName val="Ref__시험항목_테이블1"/>
      <sheetName val="Ref__Search_Result_테이블1"/>
      <sheetName val="20년_동일기간_소테마1"/>
      <sheetName val="control_sheet1"/>
      <sheetName val="JT3_0견적-구11"/>
      <sheetName val="Dropbox_목록1"/>
      <sheetName val="SPT_vs_PHI1"/>
      <sheetName val="수량산출서_(2)1"/>
      <sheetName val="1_수인터널2"/>
      <sheetName val="1-2_설계변경요청서(갑지)1"/>
      <sheetName val="첨부1_(주차관제-_당공)1"/>
      <sheetName val="첨부1-1_설계변경내역서(CCTV)1"/>
      <sheetName val="첨부1-2_(주차관제-변공)1"/>
      <sheetName val="2-6_변공량(추가공사)1"/>
      <sheetName val="_2-1_관제(물량산출서집계표)1"/>
      <sheetName val="_2-2_유도(물량산출서집계표)1"/>
      <sheetName val="3-1_주차관제1"/>
      <sheetName val="3-2_주차-광케이블1"/>
      <sheetName val="3-3_층별LPR1"/>
      <sheetName val="4-1_유도-광케이블1"/>
      <sheetName val="4-2_주차키오스크1"/>
      <sheetName val="4-3_4면카메라1"/>
      <sheetName val="4-5_CCTV1"/>
      <sheetName val="4-6_블럭유도등1"/>
      <sheetName val="4-7_입구만차등1"/>
      <sheetName val="4-8_비상벨1"/>
      <sheetName val="1~9_하중계산1"/>
      <sheetName val="BSD_(2)1"/>
      <sheetName val="방배동내역_(총괄)1"/>
      <sheetName val="NKC_(final)1"/>
      <sheetName val="NCR_HEC_6_Opens1"/>
      <sheetName val="NCR_HEC_4_Open_&amp;_Vendor_2_Open1"/>
      <sheetName val="무형자산_LS111"/>
      <sheetName val="2_FM_Fee_2차년도1"/>
      <sheetName val="3_감가장비1"/>
      <sheetName val="SRS_월별_BS2"/>
      <sheetName val="평가&amp;선급_미지급2"/>
      <sheetName val="EXC_IND1"/>
      <sheetName val="COLOR별_인쇄1"/>
      <sheetName val="Sensitivity_and_GC_Value1"/>
      <sheetName val="10_예산_및_원가_계획(02년)1"/>
      <sheetName val="CLOSED OUT LETS  "/>
      <sheetName val="Drop-Down Lists"/>
      <sheetName val="FAROL_DISPONIBILIDADE"/>
      <sheetName val="01_CADASTRO"/>
      <sheetName val="Disp_Motorista"/>
      <sheetName val="DEZ"/>
      <sheetName val="TO_Data_Base31"/>
      <sheetName val="YTD_Summary30"/>
      <sheetName val="Month_Summary30"/>
      <sheetName val="Trial_Balance_MAY_200930"/>
      <sheetName val="TB_Pivot30"/>
      <sheetName val="total_per_LB_LB230"/>
      <sheetName val="Trial_Balance_Vlookup30"/>
      <sheetName val="Trial_Balance_APRIL_200930"/>
      <sheetName val="Roll_Out_AQ30"/>
      <sheetName val="Evolução_mandamentos30"/>
      <sheetName val="Planilha_resultados29"/>
      <sheetName val="Historico_200329"/>
      <sheetName val="Sig_Cycles_Accts_&amp;_Processes29"/>
      <sheetName val="Fixed_ZBB23"/>
      <sheetName val="E_法规NC23"/>
      <sheetName val="3_ISo_YTD23"/>
      <sheetName val="Données_LMU23"/>
      <sheetName val="Brazil_Sovereign23"/>
      <sheetName val="Resumen_Costo23"/>
      <sheetName val="Base_de_Dados23"/>
      <sheetName val="Extract_Loss23"/>
      <sheetName val="5_123"/>
      <sheetName val="QA_跟踪记录表23"/>
      <sheetName val="RG_Depots23"/>
      <sheetName val="material_data23"/>
      <sheetName val="other_data23"/>
      <sheetName val="Como_Estamos23"/>
      <sheetName val="Database_(RUR)Mar_YTD23"/>
      <sheetName val="SKU_Mapping23"/>
      <sheetName val="Drop_Down23"/>
      <sheetName val="Raw_Data23"/>
      <sheetName val="EBM-2_GHQ23"/>
      <sheetName val="Base_PEF24"/>
      <sheetName val="Controls_data25"/>
      <sheetName val="Testing_Template_Guidance23"/>
      <sheetName val="Test_Programs23"/>
      <sheetName val="Dados_BLP23"/>
      <sheetName val="FJJX_Bud_IB22"/>
      <sheetName val="JOB_PROFILE_-_LAS23"/>
      <sheetName val="ARdistr_(2)23"/>
      <sheetName val="look-up_data22"/>
      <sheetName val="Prd_Hierarchy(产品层级)22"/>
      <sheetName val="Com_(2PK)22"/>
      <sheetName val="Project_Code22"/>
      <sheetName val="요일_테이블23"/>
      <sheetName val="요일_테이블_(2)22"/>
      <sheetName val="Prd_Hierarchy(产品层次)22"/>
      <sheetName val="전사_PL24"/>
      <sheetName val="자금_제외_PL24"/>
      <sheetName val="자금_PL24"/>
      <sheetName val="전사_BS24"/>
      <sheetName val="자금_제외_BS24"/>
      <sheetName val="자금_BS24"/>
      <sheetName val="BS_계정_설명24"/>
      <sheetName val="_Cash_Flow(전사)24"/>
      <sheetName val="_Cash_Flow(자금제외)24"/>
      <sheetName val="_Cash_Flow(자금)24"/>
      <sheetName val="ROIC_24"/>
      <sheetName val="인건비_명세24"/>
      <sheetName val="판관비_명세24"/>
      <sheetName val="OH_Cost경비(내역)24"/>
      <sheetName val="OH_Cost경비(배부기준)24"/>
      <sheetName val="기타수지&amp;특별손익_명세24"/>
      <sheetName val="업무연락_(2)23"/>
      <sheetName val="제시_손익계산서23"/>
      <sheetName val="01_02월_성과급24"/>
      <sheetName val="M_7회차_담금_계획23"/>
      <sheetName val="팀별_실적23"/>
      <sheetName val="팀별_실적_(환산)23"/>
      <sheetName val="4__Inj_투자상세내역23"/>
      <sheetName val="3__Blow_투자_상세내역23"/>
      <sheetName val="Process_List23"/>
      <sheetName val="7_(2)23"/>
      <sheetName val="_손익기01_XL22"/>
      <sheetName val="drop_down_list22"/>
      <sheetName val="Income_Stmt22"/>
      <sheetName val="[손익기01_XL_x005f_x0000__x005f_x0000_DePara22"/>
      <sheetName val="Quarterly_LBO_Model22"/>
      <sheetName val="[손익기01_XL22"/>
      <sheetName val="_손익기01_XL_x005f_x0000__x005f_x0000_DePara22"/>
      <sheetName val="15년_BL_사계22"/>
      <sheetName val="1_종합손익(도급)22"/>
      <sheetName val="1_종합손익(주택,개발)22"/>
      <sheetName val="2_실행예산22"/>
      <sheetName val="2_2과부족22"/>
      <sheetName val="2_3원가절감22"/>
      <sheetName val="8_외주비집행현황22"/>
      <sheetName val="9_자재비22"/>
      <sheetName val="10_현장집행22"/>
      <sheetName val="3_추가원가22"/>
      <sheetName val="3_추가원가_(2)22"/>
      <sheetName val="4_사전공사22"/>
      <sheetName val="5_추정공사비22"/>
      <sheetName val="6_금융비용22"/>
      <sheetName val="7_공사비집행현황(총괄)22"/>
      <sheetName val="11_1생산성22"/>
      <sheetName val="11_2인원산출22"/>
      <sheetName val="Figures_Report21"/>
      <sheetName val="Classification_分类21"/>
      <sheetName val="Set_Up22"/>
      <sheetName val="Perf__Plan__Diário121"/>
      <sheetName val="In_(2)21"/>
      <sheetName val="Fare_prices21"/>
      <sheetName val="Hotel_prices21"/>
      <sheetName val="tab_STATUS_DO_PROCESSO_21"/>
      <sheetName val="Clasif_20"/>
      <sheetName val="Cond__Inseguros20"/>
      <sheetName val="Comp__Inseguros20"/>
      <sheetName val="Lista_de_datos20"/>
      <sheetName val="MASTER_APP20"/>
      <sheetName val="CLASIFICACION_DE_AI21"/>
      <sheetName val="Base_da_Datos21"/>
      <sheetName val="__한국_AMP_ASP-23_판매가격__21"/>
      <sheetName val="CC_Down_load_071621"/>
      <sheetName val="변경실행(2차)_21"/>
      <sheetName val="나_출고21"/>
      <sheetName val="나_입고21"/>
      <sheetName val="09년_인건비(속리산)21"/>
      <sheetName val="합산목표(감가+57_5)21"/>
      <sheetName val="제조원가_원단위_분석21"/>
      <sheetName val="종합표양식(품의_&amp;_입고)_221"/>
      <sheetName val="원가관리_(동월대비)21"/>
      <sheetName val="b_balju_(2)21"/>
      <sheetName val="2-2_매출분석21"/>
      <sheetName val="몰드시스템_리스트21"/>
      <sheetName val="11_외화채무증권(AFS,HTM)0821"/>
      <sheetName val="13_감액TEST_0821"/>
      <sheetName val="12년_CF(9월)21"/>
      <sheetName val="중기조종사_단위단가21"/>
      <sheetName val="6PILE__(돌출)21"/>
      <sheetName val="기성청구_공문21"/>
      <sheetName val="Sheet1_(2)21"/>
      <sheetName val="slide_24_cat_A21"/>
      <sheetName val="slide_82_cat_b21"/>
      <sheetName val="Dados_dos_Produtos21"/>
      <sheetName val="Base_de_Datos20"/>
      <sheetName val="Farol_Acciones20"/>
      <sheetName val="Lista_de_Entrenamientos20"/>
      <sheetName val="09~10년_매출계획21"/>
      <sheetName val="1_MDF1공장21"/>
      <sheetName val="Unidades_SAC-REVENDA21"/>
      <sheetName val="FornecM_Check19"/>
      <sheetName val="Incident_유형구분표21"/>
      <sheetName val="3YP2016-Bottom_up20"/>
      <sheetName val="DD_list21"/>
      <sheetName val="Lista_CI20"/>
      <sheetName val="2_카드채권(대출포함)20"/>
      <sheetName val="表21_净利润调节表20"/>
      <sheetName val="Supply_Cost_Centers20"/>
      <sheetName val="Estratificación_AI19"/>
      <sheetName val="condicion_inseguras19"/>
      <sheetName val="Actos_Inseguros19"/>
      <sheetName val="Control_de_incidentes19"/>
      <sheetName val="Plan_de_Acción19"/>
      <sheetName val="_DD_List20"/>
      <sheetName val="Share_Price_200220"/>
      <sheetName val="[손익기01_XL??DePara19"/>
      <sheetName val="Farol_Metas19"/>
      <sheetName val="Mod_Relac_19"/>
      <sheetName val="TOP_KPIs_MTM19"/>
      <sheetName val="PLAN_DE_ACCION19"/>
      <sheetName val="Faro_de_Indicadores19"/>
      <sheetName val="Grafica_Actos19"/>
      <sheetName val="Condiciones_SyE19"/>
      <sheetName val="REALxMETA_-_CERVEJA21"/>
      <sheetName val="REALxMETA_-_REFRI21"/>
      <sheetName val="BEP_加薪_KPI19"/>
      <sheetName val="Dashboard_Prevención_Riesgos_19"/>
      <sheetName val="Directrices_de_Metas_201719"/>
      <sheetName val="Issues_List_Payments19"/>
      <sheetName val="POC_LIST19"/>
      <sheetName val="Entity_Target19"/>
      <sheetName val="do_not_delete19"/>
      <sheetName val="_손익기01_XL_x005f_x005f_x005f_x0000__x005f_x005f_19"/>
      <sheetName val="Hazards_Analysis-隐患分析19"/>
      <sheetName val="F08_-_Asia_Pac_Full_Year_Q320"/>
      <sheetName val="Top_Priorities20"/>
      <sheetName val="Listco_Stock20"/>
      <sheetName val="Intl_Purchase20"/>
      <sheetName val="FY_outlook20"/>
      <sheetName val="CY_outlook20"/>
      <sheetName val="Cash_metrics20"/>
      <sheetName val="P6_720"/>
      <sheetName val="DATOS_BASE19"/>
      <sheetName val="97_사업추정(WEKI)19"/>
      <sheetName val="Tong_hop19"/>
      <sheetName val="95_1_1이후취득자산(숨기기상태)19"/>
      <sheetName val="sum1_(2)19"/>
      <sheetName val="3_바닥판설계19"/>
      <sheetName val="6월_공정외주19"/>
      <sheetName val="2_대외공문19"/>
      <sheetName val="2_총괄표19"/>
      <sheetName val="입출재고현황_(2)19"/>
      <sheetName val="504전기실_동부하-L19"/>
      <sheetName val="OUTER_AREA(겹침없음)19"/>
      <sheetName val="EL_표면적19"/>
      <sheetName val="TRE_TABLE19"/>
      <sheetName val="입찰내역_발주처_양식19"/>
      <sheetName val="De_Para18"/>
      <sheetName val="DETALLE_MENSUAL19"/>
      <sheetName val="Check_Qualidade17"/>
      <sheetName val="Check_Aderencia17"/>
      <sheetName val="Data_validation19"/>
      <sheetName val="SKU_Basic_Data19"/>
      <sheetName val="Ventas_Campo17"/>
      <sheetName val="APAC_S19"/>
      <sheetName val="APAC_N19"/>
      <sheetName val="Slide_output19"/>
      <sheetName val="turnover_reason퇴직사유19"/>
      <sheetName val="Base_Farol17"/>
      <sheetName val="Gerencial_IL17"/>
      <sheetName val="VALIDACION_DE_DATOS18"/>
      <sheetName val="ACTOS_POR_RIESGO17"/>
      <sheetName val="Nombre_de_SOP17"/>
      <sheetName val="drop_lists17"/>
      <sheetName val="KPIs_Hana17"/>
      <sheetName val="Catalago_de_refacciones_17"/>
      <sheetName val="Existencias_al_07-Nov-201217"/>
      <sheetName val="Check_GG17"/>
      <sheetName val="Drop-down_List18"/>
      <sheetName val="by_DD18"/>
      <sheetName val="Jul-Sep_Actual_cost_(2)18"/>
      <sheetName val="MRL_NON_SUPPLY_URU17"/>
      <sheetName val="AIIM_-_Empresas_Ext_201217"/>
      <sheetName val="Ta_17"/>
      <sheetName val="2__Indicadores17"/>
      <sheetName val="_손익기01_XL_x005f_x0000__x017"/>
      <sheetName val="부재료_비교(11년_vs_10년)17"/>
      <sheetName val="Lista_de_Entrenamientos_RSO17"/>
      <sheetName val="Tablero_SDG20"/>
      <sheetName val="Lista_Areas20"/>
      <sheetName val="One_Page20"/>
      <sheetName val="Sub-Productos_HN18"/>
      <sheetName val="Eficiencia_linea17"/>
      <sheetName val="_mngt_Pillar17"/>
      <sheetName val="Comp_Inseguros16"/>
      <sheetName val="Pauta_RPS_Distribuição16"/>
      <sheetName val="Estoque_(2)16"/>
      <sheetName val="Sheet3_(2)17"/>
      <sheetName val="Lao_&amp;_Cam17"/>
      <sheetName val="Hoegaarden_201917"/>
      <sheetName val="Lao_&amp;_Cam_201917"/>
      <sheetName val="Malaysia_201917"/>
      <sheetName val="Singapore_201917"/>
      <sheetName val="Sheet2_(2)17"/>
      <sheetName val="요일_테이블_17"/>
      <sheetName val="Other_Listings17"/>
      <sheetName val="BNR_2012_в_ящике16"/>
      <sheetName val="FX_Rates15"/>
      <sheetName val="Vagas_x_Candidatos15"/>
      <sheetName val="Análise_Tempos12"/>
      <sheetName val="__한국_AMP_ASP-23_판㧤가격__15"/>
      <sheetName val="11_䡸화채무줝ⴌ(AFS,HTM)0815"/>
      <sheetName val="Drop_list15"/>
      <sheetName val="DO_NOT_MOVE16"/>
      <sheetName val="DATOS_DE_VALIDACIÓN16"/>
      <sheetName val="Datos_con16"/>
      <sheetName val="_Datos_Cond_16"/>
      <sheetName val="INGRESO_(2)16"/>
      <sheetName val="PG-K1610_(UEN_Areas)MNG16"/>
      <sheetName val="DATOS_GEN_16"/>
      <sheetName val="NUEVOS_CRITERIOS16"/>
      <sheetName val="Condiciones_Agua16"/>
      <sheetName val="Dropdown_list15"/>
      <sheetName val="Proced_15"/>
      <sheetName val="Cut_Machine_Summary15"/>
      <sheetName val="Validação_de_Dados12"/>
      <sheetName val="Control_de_Fallas15"/>
      <sheetName val="Setup_for_Templates15"/>
      <sheetName val="Datos_emp15"/>
      <sheetName val="Validation_lists15"/>
      <sheetName val="TIPO_DE_ACTO15"/>
      <sheetName val="CRITICIDAD_DE_CI15"/>
      <sheetName val="Catálogo_de_CI15"/>
      <sheetName val="%_CUMPLIMIENTO15"/>
      <sheetName val="%_cumplimiento_15"/>
      <sheetName val="CALIFICACIONES_201913"/>
      <sheetName val="Lev_4_360_deg_check_Crit_Task13"/>
      <sheetName val="Lev_4_Chk_IC_Stock_Crit_Task13"/>
      <sheetName val="Lev_4_WMS_Putaway_Crit_Task13"/>
      <sheetName val="No_llenar_12"/>
      <sheetName val="Listas_y_equipos_a_evaluar15"/>
      <sheetName val="Data_Reporte15"/>
      <sheetName val="Read_me15"/>
      <sheetName val="Daily_Dashboard15"/>
      <sheetName val="Champions_List14"/>
      <sheetName val="NAZ_Strategy13"/>
      <sheetName val="Lista_de_Motivos12"/>
      <sheetName val="Ponto_Crítico_-_Resp__Plano12"/>
      <sheetName val="Lista_Funcionários_(2)12"/>
      <sheetName val="Mapeo_SKUs15"/>
      <sheetName val="Vol_(Ds)15"/>
      <sheetName val="Vol_(Ka)15"/>
      <sheetName val="Vol_(Oth)15"/>
      <sheetName val="Vol_(Oth)_Cortesias15"/>
      <sheetName val="INPUT-Cust_Sugg_Margin(Ds)15"/>
      <sheetName val="On_Invoice15"/>
      <sheetName val="INPUT-Cust_Sugg_Margin(Ka)15"/>
      <sheetName val="INPUT_SKUs15"/>
      <sheetName val="Brand_P&amp;L13"/>
      <sheetName val="SUPERMONT_P13"/>
      <sheetName val="Data_selection13"/>
      <sheetName val="Customer_&amp;_SO13"/>
      <sheetName val="Session_Proposal13"/>
      <sheetName val="PDA_BOP12"/>
      <sheetName val="Incentivo_Automóvil12"/>
      <sheetName val="PAINEL_RECOLHA_CRÉDITO12"/>
      <sheetName val="Gráficos_-_CDD12"/>
      <sheetName val="Razão_Social9"/>
      <sheetName val="Status_de_Usuario10"/>
      <sheetName val="Listas_desplegables10"/>
      <sheetName val="Resumen_General10"/>
      <sheetName val="Cátalogo_de_CI10"/>
      <sheetName val="Hoja2_(2)10"/>
      <sheetName val="Technology_check_list10"/>
      <sheetName val="Actos_y_Condiciones_10"/>
      <sheetName val="NO_BORRAR10"/>
      <sheetName val="Project_List11"/>
      <sheetName val="Dropdown_Menu11"/>
      <sheetName val="SOP_Freshness10"/>
      <sheetName val="유류대_현황10"/>
      <sheetName val="Выпадающие_списки11"/>
      <sheetName val="2_3_Projects_Status10"/>
      <sheetName val="mapping_(2)10"/>
      <sheetName val="Ref_10"/>
      <sheetName val="PROCESS_MD12"/>
      <sheetName val="Formato_checklist_Lab10"/>
      <sheetName val="1__템플릿10"/>
      <sheetName val="2__작성_참고사항10"/>
      <sheetName val="Master_Data10"/>
      <sheetName val="Consolidated_Project_List10"/>
      <sheetName val="Fixed_Cost10"/>
      <sheetName val="Dimension_IN_Sheet1!D191210"/>
      <sheetName val="Dimension_IN_191210"/>
      <sheetName val="Manage_to_Sustain9"/>
      <sheetName val="Packages_Info9"/>
      <sheetName val="Meeting_List9"/>
      <sheetName val="3__Training_&amp;_travel9"/>
      <sheetName val="FILIAL_MINAS9"/>
      <sheetName val="2020_MMR129"/>
      <sheetName val="입문_트랜드(종합분석)9"/>
      <sheetName val="Master_CE9"/>
      <sheetName val="CE_Final_9"/>
      <sheetName val="OL_LIST9"/>
      <sheetName val="YTD_GUEST_LIST9"/>
      <sheetName val="Session_Full_list9"/>
      <sheetName val="FOOD_PAYMENT_update_JAN9"/>
      <sheetName val="Rate_card_F19_9"/>
      <sheetName val="Master_Plan__(update)9"/>
      <sheetName val="The_KPI_9"/>
      <sheetName val="Mentor_Plan_9"/>
      <sheetName val="Master_Plan_9"/>
      <sheetName val="Tier_1_GOV_PC_Networking_9"/>
      <sheetName val="Tier_1_LBO_9"/>
      <sheetName val="Preferred_Option9"/>
      <sheetName val="_손익기01_XL_x005f_x0000__x005f_x005f_x09"/>
      <sheetName val="info_for_drop_box9"/>
      <sheetName val="KPIs-_TTP,_PTP,_People_Turnove9"/>
      <sheetName val="1월_목표9"/>
      <sheetName val="POCM_배송지9"/>
      <sheetName val="_7"/>
      <sheetName val="Mapping_7"/>
      <sheetName val="WS_DB7"/>
      <sheetName val="Region_7"/>
      <sheetName val="SKU_DB7"/>
      <sheetName val="SAP_info7"/>
      <sheetName val="Target_Book7"/>
      <sheetName val="10_麦汁CIP清洗标准水量7"/>
      <sheetName val="Lista_AI7"/>
      <sheetName val="COE_Scope_-_Strategic_Projects7"/>
      <sheetName val="SEGUIMIENTO_SEMANAL7"/>
      <sheetName val="Resumen_(hL_env)7"/>
      <sheetName val="Tipo_Viaje7"/>
      <sheetName val="Flota_y_Personal7"/>
      <sheetName val="데이터_유효성_목록7"/>
      <sheetName val="Ref_New_Contract_Model7"/>
      <sheetName val="Name_List7"/>
      <sheetName val="Back_Data_19"/>
      <sheetName val="2_주요계수총괄9"/>
      <sheetName val="외주현황_wq18"/>
      <sheetName val="P_M_별10"/>
      <sheetName val="대투_보관자료_변경8"/>
      <sheetName val="Project_Brief9"/>
      <sheetName val="단면_(2)9"/>
      <sheetName val="부대시행1_(2)8"/>
      <sheetName val="1_차입금8"/>
      <sheetName val="근거_및_가정8"/>
      <sheetName val="118_세금과공과9"/>
      <sheetName val="_견적서8"/>
      <sheetName val="Facility_Information9"/>
      <sheetName val="1_본사계정별9"/>
      <sheetName val="3_6_2남양주택배8"/>
      <sheetName val="해외_기술훈련비_(합계)9"/>
      <sheetName val="설산1_나8"/>
      <sheetName val="PAD_TR보호대기초8"/>
      <sheetName val="1월_예산8"/>
      <sheetName val="Utility_Usage_YTN_TOWER8"/>
      <sheetName val="1__시공측량8"/>
      <sheetName val="수종별수량_(2)8"/>
      <sheetName val="전선_및_전선관8"/>
      <sheetName val="설문_평가8"/>
      <sheetName val="B-1_기본정보8"/>
      <sheetName val="납부내역총괄표_(수정)8"/>
      <sheetName val="#1)_투자_구분8"/>
      <sheetName val="Rev__Recon_17"/>
      <sheetName val="1_고객불만건수7"/>
      <sheetName val="1_변경범위7"/>
      <sheetName val="Weekly_Progress(계장)8"/>
      <sheetName val="2013_2월_연결대상8"/>
      <sheetName val="2-2_투자8"/>
      <sheetName val="Proj__Fin_8"/>
      <sheetName val="ITS_Assumptions7"/>
      <sheetName val="7_Utility_Analysis7"/>
      <sheetName val="Operational_Activities7"/>
      <sheetName val="13_포장용역비표준8"/>
      <sheetName val="9_가공부자재표준8"/>
      <sheetName val="8_ROLL표준(TSW)8"/>
      <sheetName val="4_톤당조관량표준8"/>
      <sheetName val="5_조관부자재표준8"/>
      <sheetName val="KEY_CODE8"/>
      <sheetName val="2-1_강사료,교통비_지급명세8"/>
      <sheetName val="HQ_급여_7"/>
      <sheetName val="OF_급여7"/>
      <sheetName val="F_Ma급여7"/>
      <sheetName val="SMT_급여7"/>
      <sheetName val="QC_급여7"/>
      <sheetName val="Sam_sung_급여7"/>
      <sheetName val="Dlock_급여7"/>
      <sheetName val="_thôi_việc_급여7"/>
      <sheetName val="Công_smt7"/>
      <sheetName val="Công_smt_(2)7"/>
      <sheetName val="Detail_smt7"/>
      <sheetName val="Công_QC7"/>
      <sheetName val="Detail_QC_7"/>
      <sheetName val="Công_SS7"/>
      <sheetName val="Detail_SS7"/>
      <sheetName val="Công_FMa7"/>
      <sheetName val="Detail_FMa7"/>
      <sheetName val="Công_OF7"/>
      <sheetName val="Detail_OF7"/>
      <sheetName val="Công_Dlock7"/>
      <sheetName val="Detail_Dlock7"/>
      <sheetName val="Công_thôi_việc7"/>
      <sheetName val="Detail_thôi7"/>
      <sheetName val="C1_3_17"/>
      <sheetName val="실행기성_갑지8"/>
      <sheetName val="Eq__Mobilization7"/>
      <sheetName val="1__작성방식7"/>
      <sheetName val="표)CFT장_조직별_배분7"/>
      <sheetName val="20180214_P&amp;T7"/>
      <sheetName val="Ref__중점_추진_과제별_상세7"/>
      <sheetName val="2_6_三无_(2)7"/>
      <sheetName val="수량산출서_갑지7"/>
      <sheetName val="G_R300경비7"/>
      <sheetName val="AS포장복구_7"/>
      <sheetName val="설_계7"/>
      <sheetName val="Worker_List7"/>
      <sheetName val="GB-IC_Villingen_GG7"/>
      <sheetName val="6월_공嚺㓶가7"/>
      <sheetName val="Exchange_rate7"/>
      <sheetName val="업무_분류(Category)7"/>
      <sheetName val="준검_내역서7"/>
      <sheetName val="날개수량1_57"/>
      <sheetName val="F_월별기성수금현황_7"/>
      <sheetName val="기초정보_코드7"/>
      <sheetName val="#1_Basic7"/>
      <sheetName val="첨부#2_Cash_Flow(현장작성)7"/>
      <sheetName val="3_일반사상7"/>
      <sheetName val="Bank_code7"/>
      <sheetName val="Drop-down_RAW7"/>
      <sheetName val="산자사_운전용품7"/>
      <sheetName val="보고서_표7"/>
      <sheetName val="0__가정_및_결론7"/>
      <sheetName val="1__투자비7"/>
      <sheetName val="2__Rent-roll7"/>
      <sheetName val="3__Funding7"/>
      <sheetName val="4__운영수익7"/>
      <sheetName val="5__운영비용7"/>
      <sheetName val="6_1_N+1년차_NOI_산정7"/>
      <sheetName val="6__부동산매각7"/>
      <sheetName val="7__보유세7"/>
      <sheetName val="8__교통유발부담금7"/>
      <sheetName val="9__BS부속7"/>
      <sheetName val="10__CF(M)7"/>
      <sheetName val="11__IS(M)7"/>
      <sheetName val="12__BS(M)7"/>
      <sheetName val="14__IS(FY)7"/>
      <sheetName val="13__CF(FY)7"/>
      <sheetName val="15__BS(FY)7"/>
      <sheetName val="16__RE(FY)7"/>
      <sheetName val="4_1_월별_에너지_사용량7"/>
      <sheetName val="조도계산서_(도서)7"/>
      <sheetName val="A(Rev_3)7"/>
      <sheetName val="STRAT_PLAN_WKSHT8"/>
      <sheetName val="Sales_Plan_&amp;_other8"/>
      <sheetName val="drop_downs7"/>
      <sheetName val="Basic_Information7"/>
      <sheetName val="7300-1000_118"/>
      <sheetName val="PJT_현황7"/>
      <sheetName val="진행_DATA_(2)7"/>
      <sheetName val="참고)_기준정보7"/>
      <sheetName val="Long_Term_Prices7"/>
      <sheetName val="구분_Table7"/>
      <sheetName val="역T형옹벽(3_0)7"/>
      <sheetName val="외상매출금현황-수정분_A27"/>
      <sheetName val="PF_현황(11년12월)7"/>
      <sheetName val="TO_TTZ7"/>
      <sheetName val="CATÁLOGO_DE_PELIGROS7"/>
      <sheetName val="RyNV_detectados_7"/>
      <sheetName val="Curva_20217"/>
      <sheetName val="Por_PPR8"/>
      <sheetName val="_손익기01_XL__DePara16"/>
      <sheetName val="입찰내역_Ĉ7"/>
      <sheetName val="match_list7"/>
      <sheetName val="Q4_20187"/>
      <sheetName val="Q4_20197"/>
      <sheetName val="Q4_Sum7"/>
      <sheetName val="2020_KPI_LE07"/>
      <sheetName val="Rate_data7"/>
      <sheetName val="Template_HN7"/>
      <sheetName val="KPI_need_to_input7"/>
      <sheetName val="강남_CRM_11월7"/>
      <sheetName val="CRITERIOS_DE_AI7"/>
      <sheetName val="Nigeria_&amp;_Ghana7"/>
      <sheetName val="DEX_(2)6"/>
      <sheetName val="Manual_Database6"/>
      <sheetName val="_손익기01_XL_x005f_x005f_x007"/>
      <sheetName val="Total_marcas2"/>
      <sheetName val="Fase_12"/>
      <sheetName val="Fase_22"/>
      <sheetName val="Fase_32"/>
      <sheetName val="SEM_x_area1"/>
      <sheetName val="8_Bars1"/>
      <sheetName val="CALEY D._APPC"/>
      <sheetName val="Inventario inicial"/>
      <sheetName val="PROYEC. DE VENTAS"/>
      <sheetName val="Catalogo_Cursos3"/>
      <sheetName val="Catalogo_Cursos_3"/>
      <sheetName val="Check_People3"/>
      <sheetName val="AVANCE_PROGRAMACION3"/>
      <sheetName val="Cumplimiento_por_Entrenamiento3"/>
      <sheetName val="Cumplimiento_del_Plan_por_área3"/>
      <sheetName val="CAPTURA_ENE_MAY3"/>
      <sheetName val="tablas_cuadrillas3"/>
      <sheetName val="Base_de_Datos_de_Activos_3"/>
      <sheetName val="PIVOT_ADHERENCIA3"/>
      <sheetName val="Steps_of_Committe_3"/>
      <sheetName val="IC's_(2)3"/>
      <sheetName val="Participación_en_entrenamie_(23"/>
      <sheetName val="Probability_and_Consequence2"/>
      <sheetName val="SEM_x_area2"/>
      <sheetName val="Lista_d4"/>
      <sheetName val="Puerto_Rico4"/>
      <sheetName val="AI_OYS_Acum4"/>
      <sheetName val="Boletas_Condiciones4"/>
      <sheetName val="1_15"/>
      <sheetName val="1_25"/>
      <sheetName val="2_1-Pareto4"/>
      <sheetName val="Datos_Mensuales4"/>
      <sheetName val="Indicador_EE_Mensual4"/>
      <sheetName val="Catalogo_Cursos4"/>
      <sheetName val="Catalogo_Cursos_4"/>
      <sheetName val="Check_People4"/>
      <sheetName val="AVANCE_PROGRAMACION4"/>
      <sheetName val="Cumplimiento_por_Entrenamiento4"/>
      <sheetName val="Cumplimiento_del_Plan_por_área4"/>
      <sheetName val="CAPTURA_ENE_MAY4"/>
      <sheetName val="tablas_cuadrillas4"/>
      <sheetName val="Base_de_Datos_de_Activos_4"/>
      <sheetName val="PIVOT_ADHERENCIA4"/>
      <sheetName val="Steps_of_Committe_4"/>
      <sheetName val="IC's_(2)4"/>
      <sheetName val="Participación_en_entrenamie_(24"/>
      <sheetName val="Detalle_para_correctivo_excep_4"/>
      <sheetName val="Plan_de_Acción_MAZ3"/>
      <sheetName val="Probability_and_Consequence3"/>
      <sheetName val="Total_marcas3"/>
      <sheetName val="Fase_13"/>
      <sheetName val="Fase_23"/>
      <sheetName val="Fase_33"/>
      <sheetName val="SEM_x_area3"/>
      <sheetName val="Indicadores"/>
      <sheetName val="Inventario_inicial"/>
      <sheetName val="CALEY_D__APPC"/>
      <sheetName val="PROYEC__DE_VENTAS"/>
      <sheetName val="Nomenclature"/>
      <sheetName val="Appendix"/>
      <sheetName val="8_Bars2"/>
      <sheetName val="Valores de selección"/>
      <sheetName val="1_16"/>
      <sheetName val="Lista_d5"/>
      <sheetName val="Puerto_Rico5"/>
      <sheetName val="AI_OYS_Acum5"/>
      <sheetName val="Boletas_Condiciones5"/>
      <sheetName val="1_17"/>
      <sheetName val="1_26"/>
      <sheetName val="2_1-Pareto5"/>
      <sheetName val="Datos_Mensuales5"/>
      <sheetName val="Indicador_EE_Mensual5"/>
      <sheetName val="Detalle_para_correctivo_excep_5"/>
      <sheetName val="Catalogo_Cursos5"/>
      <sheetName val="Catalogo_Cursos_5"/>
      <sheetName val="Check_People5"/>
      <sheetName val="AVANCE_PROGRAMACION5"/>
      <sheetName val="Cumplimiento_por_Entrenamiento5"/>
      <sheetName val="Cumplimiento_del_Plan_por_área5"/>
      <sheetName val="CAPTURA_ENE_MAY5"/>
      <sheetName val="tablas_cuadrillas5"/>
      <sheetName val="Base_de_Datos_de_Activos_5"/>
      <sheetName val="PIVOT_ADHERENCIA5"/>
      <sheetName val="Steps_of_Committe_5"/>
      <sheetName val="IC's_(2)5"/>
      <sheetName val="Participación_en_entrenamie_(25"/>
      <sheetName val="Plan_de_Acción_MAZ4"/>
      <sheetName val="Probability_and_Consequence4"/>
      <sheetName val="Total_marcas4"/>
      <sheetName val="Fase_14"/>
      <sheetName val="Fase_24"/>
      <sheetName val="Fase_34"/>
      <sheetName val="SEM_x_area4"/>
      <sheetName val="8_Bars3"/>
      <sheetName val="TR__KHCode3"/>
      <sheetName val="NDD_CPT3"/>
      <sheetName val="_折扣项_PromotionPlan3"/>
      <sheetName val="CALEY_D__APPC1"/>
      <sheetName val="Inventario_inicial1"/>
      <sheetName val="PROYEC__DE_VENTAS1"/>
      <sheetName val="Valores_de_selección"/>
      <sheetName val="CENTRO"/>
      <sheetName val="Instrucciones"/>
      <sheetName val="MANUAL DE TOMA DE DECISIONES"/>
      <sheetName val="Pivots"/>
      <sheetName val="PERS + OP`S"/>
      <sheetName val="Read me Trad"/>
      <sheetName val="Read_me_Trad"/>
      <sheetName val="Forecast"/>
      <sheetName val="Domestic"/>
      <sheetName val="LE_(VND)"/>
      <sheetName val="WGS_TOT_KA_Segmentation1"/>
      <sheetName val="WGSK_SEGMENTATION1"/>
      <sheetName val="WGSK_Venue_Segment1"/>
      <sheetName val="Plant_assumptions1"/>
      <sheetName val="GH_GM"/>
      <sheetName val="FES_PM"/>
      <sheetName val="FES_GM"/>
      <sheetName val="SATZ_GM"/>
      <sheetName val="DIAGEO_VENTURE2"/>
      <sheetName val="MAESTRO_CODIGOS2"/>
      <sheetName val="Por_regional2"/>
      <sheetName val="Por_Proveedor2"/>
      <sheetName val="X_Categoria2"/>
      <sheetName val="Por_Vendedor2"/>
      <sheetName val="Por_Mayoristas2"/>
      <sheetName val="Por_Cliente2"/>
      <sheetName val="Por_producto2"/>
      <sheetName val="Por_producto_cant_2"/>
      <sheetName val="Por_producto_cant__(2)2"/>
      <sheetName val="Por_Vendedor_X_Ciudad2"/>
      <sheetName val="Act_por_cliente2"/>
      <sheetName val="Act_por_Proveedor2"/>
      <sheetName val="Act_por_producto2"/>
      <sheetName val="Plant Micro Index Weekly"/>
      <sheetName val="1_18"/>
      <sheetName val="Tipo_Viaje8"/>
      <sheetName val="Flota_y_Personal8"/>
      <sheetName val="TO_TTZ8"/>
      <sheetName val="CATÁLOGO_DE_PELIGROS8"/>
      <sheetName val="COE_Scope_-_Strategic_Projects8"/>
      <sheetName val="SEGUIMIENTO_SEMANAL8"/>
      <sheetName val="RyNV_detectados_8"/>
      <sheetName val="CRITERIOS_DE_AI8"/>
      <sheetName val="Lista_d6"/>
      <sheetName val="Catalogo_Cursos6"/>
      <sheetName val="Catalogo_Cursos_6"/>
      <sheetName val="Check_People6"/>
      <sheetName val="AVANCE_PROGRAMACION6"/>
      <sheetName val="Cumplimiento_por_Entrenamiento6"/>
      <sheetName val="Cumplimiento_del_Plan_por_área6"/>
      <sheetName val="CAPTURA_ENE_MAY6"/>
      <sheetName val="tablas_cuadrillas6"/>
      <sheetName val="Base_de_Datos_de_Activos_6"/>
      <sheetName val="PIVOT_ADHERENCIA6"/>
      <sheetName val="Steps_of_Committe_6"/>
      <sheetName val="IC's_(2)6"/>
      <sheetName val="Participación_en_entrenamie_(26"/>
      <sheetName val="Detalle_para_correctivo_excep_6"/>
      <sheetName val="Puerto_Rico6"/>
      <sheetName val="AI_OYS_Acum6"/>
      <sheetName val="Boletas_Condiciones6"/>
      <sheetName val="1_19"/>
      <sheetName val="1_27"/>
      <sheetName val="2_1-Pareto6"/>
      <sheetName val="Datos_Mensuales6"/>
      <sheetName val="Indicador_EE_Mensual6"/>
      <sheetName val="Plan_de_Acción_MAZ5"/>
      <sheetName val="Probability_and_Consequence5"/>
      <sheetName val="Total_marcas5"/>
      <sheetName val="Fase_15"/>
      <sheetName val="Fase_25"/>
      <sheetName val="Fase_35"/>
      <sheetName val="SEM_x_area5"/>
      <sheetName val="TR__KHCode4"/>
      <sheetName val="NDD_CPT4"/>
      <sheetName val="_折扣项_PromotionPlan4"/>
      <sheetName val="8_Bars4"/>
      <sheetName val="CALEY_D__APPC2"/>
      <sheetName val="Inventario_inicial2"/>
      <sheetName val="PROYEC__DE_VENTAS2"/>
      <sheetName val="Valores_de_selección1"/>
      <sheetName val="MANUAL_DE_TOMA_DE_DECISIONES"/>
      <sheetName val="PERS_+_OP`S"/>
      <sheetName val="Read_me_Trad1"/>
      <sheetName val="[손익기01_XLDePara12"/>
      <sheetName val="_손익기01_XLDePara12"/>
      <sheetName val="_손익기01_XL_x07"/>
      <sheetName val="数据匹配"/>
      <sheetName val="Area"/>
      <sheetName val="M3"/>
      <sheetName val="MMR12子类(销量相关)"/>
      <sheetName val="成本中心"/>
      <sheetName val="1.2阶梯规则"/>
      <sheetName val="1.3买赠规则"/>
      <sheetName val="销售公司"/>
      <sheetName val="12月"/>
      <sheetName val="HuN"/>
      <sheetName val="Tabela"/>
      <sheetName val="Peças"/>
      <sheetName val="Valores Custo Médio"/>
      <sheetName val="SEM 23"/>
      <sheetName val="Data Maestra"/>
      <sheetName val="7 Bars"/>
      <sheetName val="Colaboradores"/>
      <sheetName val="YTD - BRL (4AM)"/>
      <sheetName val="YTD - LC (4AM)"/>
      <sheetName val="Month - BRL (4AM)"/>
      <sheetName val="Month - LC (4AM)"/>
      <sheetName val="1_20"/>
      <sheetName val="Tipo_Viaje9"/>
      <sheetName val="Flota_y_Personal9"/>
      <sheetName val="TO_TTZ9"/>
      <sheetName val="CATÁLOGO_DE_PELIGROS9"/>
      <sheetName val="COE_Scope_-_Strategic_Projects9"/>
      <sheetName val="SEGUIMIENTO_SEMANAL9"/>
      <sheetName val="RyNV_detectados_9"/>
      <sheetName val="Curva_20218"/>
      <sheetName val="Por_PPR9"/>
      <sheetName val="CRITERIOS_DE_AI9"/>
      <sheetName val="Lista_d7"/>
      <sheetName val="Puerto_Rico7"/>
      <sheetName val="AI_OYS_Acum7"/>
      <sheetName val="Boletas_Condiciones7"/>
      <sheetName val="1_110"/>
      <sheetName val="1_28"/>
      <sheetName val="2_1-Pareto7"/>
      <sheetName val="Datos_Mensuales7"/>
      <sheetName val="Indicador_EE_Mensual7"/>
      <sheetName val="Catalogo_Cursos7"/>
      <sheetName val="Catalogo_Cursos_7"/>
      <sheetName val="Check_People7"/>
      <sheetName val="AVANCE_PROGRAMACION7"/>
      <sheetName val="Cumplimiento_por_Entrenamiento7"/>
      <sheetName val="Cumplimiento_del_Plan_por_área7"/>
      <sheetName val="CAPTURA_ENE_MAY7"/>
      <sheetName val="tablas_cuadrillas7"/>
      <sheetName val="Base_de_Datos_de_Activos_7"/>
      <sheetName val="PIVOT_ADHERENCIA7"/>
      <sheetName val="Steps_of_Committe_7"/>
      <sheetName val="IC's_(2)7"/>
      <sheetName val="Participación_en_entrenamie_(27"/>
      <sheetName val="Detalle_para_correctivo_excep_7"/>
      <sheetName val="Plan_de_Acción_MAZ6"/>
      <sheetName val="Probability_and_Consequence6"/>
      <sheetName val="Total_marcas6"/>
      <sheetName val="Fase_16"/>
      <sheetName val="Fase_26"/>
      <sheetName val="Fase_36"/>
      <sheetName val="SEM_x_area6"/>
      <sheetName val="TR__KHCode5"/>
      <sheetName val="NDD_CPT5"/>
      <sheetName val="_折扣项_PromotionPlan5"/>
      <sheetName val="8_Bars5"/>
      <sheetName val="CALEY_D__APPC3"/>
      <sheetName val="Inventario_inicial3"/>
      <sheetName val="PROYEC__DE_VENTAS3"/>
      <sheetName val="Valores_de_selección2"/>
      <sheetName val="DIAGEO_VENTURE3"/>
      <sheetName val="MAESTRO_CODIGOS3"/>
      <sheetName val="Por_regional3"/>
      <sheetName val="Por_Proveedor3"/>
      <sheetName val="X_Categoria3"/>
      <sheetName val="Por_Vendedor3"/>
      <sheetName val="Por_Mayoristas3"/>
      <sheetName val="Por_Cliente3"/>
      <sheetName val="Por_producto3"/>
      <sheetName val="Por_producto_cant_3"/>
      <sheetName val="Por_producto_cant__(2)3"/>
      <sheetName val="Por_Vendedor_X_Ciudad3"/>
      <sheetName val="Act_por_cliente3"/>
      <sheetName val="Act_por_Proveedor3"/>
      <sheetName val="Act_por_producto3"/>
      <sheetName val="Read_me_Trad2"/>
      <sheetName val="TARGETS_BY_MONTH1"/>
      <sheetName val="2021_Customer_Targets_By_Month1"/>
      <sheetName val="Customer_Data1"/>
      <sheetName val="Total_Sales1"/>
      <sheetName val="April'21_(2)1"/>
      <sheetName val="MANUAL_DE_TOMA_DE_DECISIONES1"/>
      <sheetName val="PERS_+_OP`S1"/>
      <sheetName val="CLOSED_OUT_LETS__"/>
      <sheetName val="Comments (2)"/>
      <sheetName val="Com-Emp"/>
      <sheetName val="TO_Data_Base32"/>
      <sheetName val="YTD_Summary31"/>
      <sheetName val="Month_Summary31"/>
      <sheetName val="Trial_Balance_MAY_200931"/>
      <sheetName val="TB_Pivot31"/>
      <sheetName val="total_per_LB_LB231"/>
      <sheetName val="Trial_Balance_Vlookup31"/>
      <sheetName val="Trial_Balance_APRIL_200931"/>
      <sheetName val="Roll_Out_AQ31"/>
      <sheetName val="Evolução_mandamentos31"/>
      <sheetName val="Planilha_resultados30"/>
      <sheetName val="Historico_200330"/>
      <sheetName val="Sig_Cycles_Accts_&amp;_Processes30"/>
      <sheetName val="Fixed_ZBB24"/>
      <sheetName val="Base_de_Dados24"/>
      <sheetName val="E_法规NC24"/>
      <sheetName val="3_ISo_YTD24"/>
      <sheetName val="Données_LMU24"/>
      <sheetName val="Brazil_Sovereign24"/>
      <sheetName val="Resumen_Costo24"/>
      <sheetName val="Extract_Loss24"/>
      <sheetName val="QA_跟踪记录表24"/>
      <sheetName val="5_124"/>
      <sheetName val="Como_Estamos24"/>
      <sheetName val="material_data24"/>
      <sheetName val="other_data24"/>
      <sheetName val="Dados_BLP24"/>
      <sheetName val="RG_Depots24"/>
      <sheetName val="Base_PEF25"/>
      <sheetName val="SKU_Mapping24"/>
      <sheetName val="Drop_Down24"/>
      <sheetName val="Controls_data26"/>
      <sheetName val="Testing_Template_Guidance24"/>
      <sheetName val="Test_Programs24"/>
      <sheetName val="Raw_Data24"/>
      <sheetName val="EBM-2_GHQ24"/>
      <sheetName val="JOB_PROFILE_-_LAS24"/>
      <sheetName val="ARdistr_(2)24"/>
      <sheetName val="Database_(RUR)Mar_YTD24"/>
      <sheetName val="look-up_data23"/>
      <sheetName val="FJJX_Bud_IB23"/>
      <sheetName val="Com_(2PK)23"/>
      <sheetName val="Prd_Hierarchy(产品层级)23"/>
      <sheetName val="Project_Code23"/>
      <sheetName val="요일_테이블24"/>
      <sheetName val="요일_테이블_(2)23"/>
      <sheetName val="전사_PL25"/>
      <sheetName val="자금_제외_PL25"/>
      <sheetName val="자금_PL25"/>
      <sheetName val="전사_BS25"/>
      <sheetName val="자금_제외_BS25"/>
      <sheetName val="자금_BS25"/>
      <sheetName val="BS_계정_설명25"/>
      <sheetName val="_Cash_Flow(전사)25"/>
      <sheetName val="_Cash_Flow(자금제외)25"/>
      <sheetName val="_Cash_Flow(자금)25"/>
      <sheetName val="ROIC_25"/>
      <sheetName val="인건비_명세25"/>
      <sheetName val="판관비_명세25"/>
      <sheetName val="OH_Cost경비(내역)25"/>
      <sheetName val="OH_Cost경비(배부기준)25"/>
      <sheetName val="기타수지&amp;특별손익_명세25"/>
      <sheetName val="업무연락_(2)24"/>
      <sheetName val="제시_손익계산서24"/>
      <sheetName val="01_02월_성과급25"/>
      <sheetName val="M_7회차_담금_계획24"/>
      <sheetName val="팀별_실적24"/>
      <sheetName val="팀별_실적_(환산)24"/>
      <sheetName val="4__Inj_투자상세내역24"/>
      <sheetName val="3__Blow_투자_상세내역24"/>
      <sheetName val="Process_List24"/>
      <sheetName val="7_(2)24"/>
      <sheetName val="Prd_Hierarchy(产品层次)23"/>
      <sheetName val="_손익기01_XL23"/>
      <sheetName val="Income_Stmt23"/>
      <sheetName val="drop_down_list23"/>
      <sheetName val="[손익기01_XL_x005f_x0000__x005f_x0000_DePara23"/>
      <sheetName val="Set_Up23"/>
      <sheetName val="Base_de_Datos21"/>
      <sheetName val="[손익기01_XL23"/>
      <sheetName val="Quarterly_LBO_Model23"/>
      <sheetName val="tab_STATUS_DO_PROCESSO_22"/>
      <sheetName val="CLASIFICACION_DE_AI22"/>
      <sheetName val="Base_da_Datos22"/>
      <sheetName val="_손익기01_XL_x005f_x0000__x005f_x0000_DePara23"/>
      <sheetName val="Figures_Report22"/>
      <sheetName val="15년_BL_사계23"/>
      <sheetName val="1_종합손익(도급)23"/>
      <sheetName val="1_종합손익(주택,개발)23"/>
      <sheetName val="2_실행예산23"/>
      <sheetName val="2_2과부족23"/>
      <sheetName val="2_3원가절감23"/>
      <sheetName val="8_외주비집행현황23"/>
      <sheetName val="9_자재비23"/>
      <sheetName val="10_현장집행23"/>
      <sheetName val="3_추가원가23"/>
      <sheetName val="3_추가원가_(2)23"/>
      <sheetName val="4_사전공사23"/>
      <sheetName val="5_추정공사비23"/>
      <sheetName val="6_금융비용23"/>
      <sheetName val="7_공사비집행현황(총괄)23"/>
      <sheetName val="11_1생산성23"/>
      <sheetName val="11_2인원산출23"/>
      <sheetName val="Fare_prices22"/>
      <sheetName val="Hotel_prices22"/>
      <sheetName val="Perf__Plan__Diário122"/>
      <sheetName val="In_(2)22"/>
      <sheetName val="Classification_分类22"/>
      <sheetName val="Dados_dos_Produtos22"/>
      <sheetName val="MASTER_APP21"/>
      <sheetName val="Cond__Inseguros21"/>
      <sheetName val="Comp__Inseguros21"/>
      <sheetName val="__한국_AMP_ASP-23_판매가격__22"/>
      <sheetName val="CC_Down_load_071622"/>
      <sheetName val="변경실행(2차)_22"/>
      <sheetName val="나_출고22"/>
      <sheetName val="나_입고22"/>
      <sheetName val="09년_인건비(속리산)22"/>
      <sheetName val="합산목표(감가+57_5)22"/>
      <sheetName val="제조원가_원단위_분석22"/>
      <sheetName val="종합표양식(품의_&amp;_입고)_222"/>
      <sheetName val="원가관리_(동월대비)22"/>
      <sheetName val="b_balju_(2)22"/>
      <sheetName val="2-2_매출분석22"/>
      <sheetName val="몰드시스템_리스트22"/>
      <sheetName val="11_외화채무증권(AFS,HTM)0822"/>
      <sheetName val="13_감액TEST_0822"/>
      <sheetName val="12년_CF(9월)22"/>
      <sheetName val="중기조종사_단위단가22"/>
      <sheetName val="6PILE__(돌출)22"/>
      <sheetName val="기성청구_공문22"/>
      <sheetName val="Sheet1_(2)22"/>
      <sheetName val="slide_24_cat_A22"/>
      <sheetName val="slide_82_cat_b22"/>
      <sheetName val="Farol_Acciones21"/>
      <sheetName val="Lista_de_Entrenamientos21"/>
      <sheetName val="Clasif_21"/>
      <sheetName val="Lista_de_datos21"/>
      <sheetName val="09~10년_매출계획22"/>
      <sheetName val="1_MDF1공장22"/>
      <sheetName val="Unidades_SAC-REVENDA22"/>
      <sheetName val="FornecM_Check20"/>
      <sheetName val="Incident_유형구분표22"/>
      <sheetName val="3YP2016-Bottom_up21"/>
      <sheetName val="DD_list22"/>
      <sheetName val="2_카드채권(대출포함)21"/>
      <sheetName val="表21_净利润调节表21"/>
      <sheetName val="Lista_CI21"/>
      <sheetName val="Supply_Cost_Centers21"/>
      <sheetName val="Estratificación_AI20"/>
      <sheetName val="condicion_inseguras20"/>
      <sheetName val="Actos_Inseguros20"/>
      <sheetName val="Control_de_incidentes20"/>
      <sheetName val="Plan_de_Acción20"/>
      <sheetName val="_DD_List21"/>
      <sheetName val="Share_Price_200221"/>
      <sheetName val="Directrices_de_Metas_201720"/>
      <sheetName val="TOP_KPIs_MTM20"/>
      <sheetName val="PLAN_DE_ACCION20"/>
      <sheetName val="Faro_de_Indicadores20"/>
      <sheetName val="Grafica_Actos20"/>
      <sheetName val="Condiciones_SyE20"/>
      <sheetName val="REALxMETA_-_CERVEJA22"/>
      <sheetName val="REALxMETA_-_REFRI22"/>
      <sheetName val="BEP_加薪_KPI20"/>
      <sheetName val="[손익기01_XL??DePara20"/>
      <sheetName val="Farol_Metas20"/>
      <sheetName val="Mod_Relac_20"/>
      <sheetName val="Dashboard_Prevención_Riesgos_20"/>
      <sheetName val="_손익기01_XL_x005f_x005f_x005f_x0000__x005f_x005f_20"/>
      <sheetName val="Hazards_Analysis-隐患分析20"/>
      <sheetName val="F08_-_Asia_Pac_Full_Year_Q321"/>
      <sheetName val="Top_Priorities21"/>
      <sheetName val="Listco_Stock21"/>
      <sheetName val="Intl_Purchase21"/>
      <sheetName val="FY_outlook21"/>
      <sheetName val="CY_outlook21"/>
      <sheetName val="Cash_metrics21"/>
      <sheetName val="P6_721"/>
      <sheetName val="DATOS_BASE20"/>
      <sheetName val="97_사업추정(WEKI)20"/>
      <sheetName val="Tong_hop20"/>
      <sheetName val="95_1_1이후취득자산(숨기기상태)20"/>
      <sheetName val="sum1_(2)20"/>
      <sheetName val="3_바닥판설계20"/>
      <sheetName val="6월_공정외주20"/>
      <sheetName val="2_대외공문20"/>
      <sheetName val="2_총괄표20"/>
      <sheetName val="입출재고현황_(2)20"/>
      <sheetName val="504전기실_동부하-L20"/>
      <sheetName val="OUTER_AREA(겹침없음)20"/>
      <sheetName val="EL_표면적20"/>
      <sheetName val="TRE_TABLE20"/>
      <sheetName val="입찰내역_발주처_양식20"/>
      <sheetName val="Issues_List_Payments20"/>
      <sheetName val="POC_LIST20"/>
      <sheetName val="Entity_Target20"/>
      <sheetName val="do_not_delete20"/>
      <sheetName val="De_Para19"/>
      <sheetName val="DETALLE_MENSUAL20"/>
      <sheetName val="Check_Qualidade18"/>
      <sheetName val="Check_Aderencia18"/>
      <sheetName val="Ventas_Campo18"/>
      <sheetName val="APAC_S20"/>
      <sheetName val="APAC_N20"/>
      <sheetName val="Slide_output20"/>
      <sheetName val="turnover_reason퇴직사유20"/>
      <sheetName val="Data_validation20"/>
      <sheetName val="SKU_Basic_Data20"/>
      <sheetName val="Base_Farol18"/>
      <sheetName val="Gerencial_IL18"/>
      <sheetName val="VALIDACION_DE_DATOS19"/>
      <sheetName val="Check_GG18"/>
      <sheetName val="2__Indicadores18"/>
      <sheetName val="ACTOS_POR_RIESGO18"/>
      <sheetName val="Nombre_de_SOP18"/>
      <sheetName val="drop_lists18"/>
      <sheetName val="KPIs_Hana18"/>
      <sheetName val="Catalago_de_refacciones_18"/>
      <sheetName val="Existencias_al_07-Nov-201218"/>
      <sheetName val="Drop-down_List19"/>
      <sheetName val="by_DD19"/>
      <sheetName val="Jul-Sep_Actual_cost_(2)19"/>
      <sheetName val="MRL_NON_SUPPLY_URU18"/>
      <sheetName val="AIIM_-_Empresas_Ext_201218"/>
      <sheetName val="Ta_18"/>
      <sheetName val="Lista_de_Entrenamientos_RSO18"/>
      <sheetName val="Tablero_SDG21"/>
      <sheetName val="Lista_Areas21"/>
      <sheetName val="One_Page21"/>
      <sheetName val="Sub-Productos_HN19"/>
      <sheetName val="Eficiencia_linea18"/>
      <sheetName val="_mngt_Pillar18"/>
      <sheetName val="_손익기01_XL_x005f_x0000__x018"/>
      <sheetName val="부재료_비교(11년_vs_10년)18"/>
      <sheetName val="Pauta_RPS_Distribuição17"/>
      <sheetName val="Estoque_(2)17"/>
      <sheetName val="Sheet3_(2)18"/>
      <sheetName val="요일_테이블_18"/>
      <sheetName val="Sheet2_(2)18"/>
      <sheetName val="Lao_&amp;_Cam18"/>
      <sheetName val="Hoegaarden_201918"/>
      <sheetName val="Lao_&amp;_Cam_201918"/>
      <sheetName val="Malaysia_201918"/>
      <sheetName val="Singapore_201918"/>
      <sheetName val="Other_Listings18"/>
      <sheetName val="DATOS_DE_VALIDACIÓN17"/>
      <sheetName val="Datos_con17"/>
      <sheetName val="_Datos_Cond_17"/>
      <sheetName val="BNR_2012_в_ящике17"/>
      <sheetName val="INGRESO_(2)17"/>
      <sheetName val="PG-K1610_(UEN_Areas)MNG17"/>
      <sheetName val="DATOS_GEN_17"/>
      <sheetName val="NUEVOS_CRITERIOS17"/>
      <sheetName val="Condiciones_Agua17"/>
      <sheetName val="Comp_Inseguros17"/>
      <sheetName val="Control_de_Fallas16"/>
      <sheetName val="Setup_for_Templates16"/>
      <sheetName val="Datos_emp16"/>
      <sheetName val="DO_NOT_MOVE17"/>
      <sheetName val="Dropdown_list16"/>
      <sheetName val="TIPO_DE_ACTO16"/>
      <sheetName val="%_cumplimiento_16"/>
      <sheetName val="%_CUMPLIMIENTO16"/>
      <sheetName val="Listas_y_equipos_a_evaluar16"/>
      <sheetName val="CRITICIDAD_DE_CI16"/>
      <sheetName val="Catálogo_de_CI16"/>
      <sheetName val="Data_Reporte16"/>
      <sheetName val="Read_me16"/>
      <sheetName val="FX_Rates16"/>
      <sheetName val="__한국_AMP_ASP-23_판㧤가격__16"/>
      <sheetName val="11_䡸화채무줝ⴌ(AFS,HTM)0816"/>
      <sheetName val="Drop_list16"/>
      <sheetName val="PDA_BOP13"/>
      <sheetName val="Proced_16"/>
      <sheetName val="Cut_Machine_Summary16"/>
      <sheetName val="Análise_Tempos13"/>
      <sheetName val="Vagas_x_Candidatos16"/>
      <sheetName val="Validation_lists16"/>
      <sheetName val="CALIFICACIONES_201914"/>
      <sheetName val="Lev_4_360_deg_check_Crit_Task14"/>
      <sheetName val="Lev_4_Chk_IC_Stock_Crit_Task14"/>
      <sheetName val="Lev_4_WMS_Putaway_Crit_Task14"/>
      <sheetName val="Daily_Dashboard16"/>
      <sheetName val="Champions_List15"/>
      <sheetName val="Status_de_Usuario11"/>
      <sheetName val="Listas_desplegables11"/>
      <sheetName val="Resumen_General11"/>
      <sheetName val="Cátalogo_de_CI11"/>
      <sheetName val="Hoja2_(2)11"/>
      <sheetName val="Technology_check_list11"/>
      <sheetName val="Actos_y_Condiciones_11"/>
      <sheetName val="NO_BORRAR11"/>
      <sheetName val="NAZ_Strategy14"/>
      <sheetName val="Incentivo_Automóvil13"/>
      <sheetName val="Mapeo_SKUs16"/>
      <sheetName val="Vol_(Ds)16"/>
      <sheetName val="Vol_(Ka)16"/>
      <sheetName val="Vol_(Oth)16"/>
      <sheetName val="Vol_(Oth)_Cortesias16"/>
      <sheetName val="INPUT-Cust_Sugg_Margin(Ds)16"/>
      <sheetName val="On_Invoice16"/>
      <sheetName val="INPUT-Cust_Sugg_Margin(Ka)16"/>
      <sheetName val="INPUT_SKUs16"/>
      <sheetName val="Brand_P&amp;L14"/>
      <sheetName val="SUPERMONT_P14"/>
      <sheetName val="Data_selection14"/>
      <sheetName val="1_29"/>
      <sheetName val="Customer_&amp;_SO14"/>
      <sheetName val="Session_Proposal14"/>
      <sheetName val="Validação_de_Dados13"/>
      <sheetName val="No_llenar_13"/>
      <sheetName val="PROCESS_MD13"/>
      <sheetName val="Formato_checklist_Lab11"/>
      <sheetName val="Lista_de_Motivos13"/>
      <sheetName val="Ponto_Crítico_-_Resp__Plano13"/>
      <sheetName val="Lista_Funcionários_(2)13"/>
      <sheetName val="Dropdown_Menu12"/>
      <sheetName val="유류대_현황11"/>
      <sheetName val="2_3_Projects_Status11"/>
      <sheetName val="mapping_(2)11"/>
      <sheetName val="Ref_11"/>
      <sheetName val="Project_List12"/>
      <sheetName val="Выпадающие_списки12"/>
      <sheetName val="SOP_Freshness11"/>
      <sheetName val="1__템플릿11"/>
      <sheetName val="2__작성_참고사항11"/>
      <sheetName val="Master_Data11"/>
      <sheetName val="Consolidated_Project_List11"/>
      <sheetName val="Fixed_Cost11"/>
      <sheetName val="PAINEL_RECOLHA_CRÉDITO13"/>
      <sheetName val="Gráficos_-_CDD13"/>
      <sheetName val="Dimension_IN_Sheet1!D191211"/>
      <sheetName val="Dimension_IN_191211"/>
      <sheetName val="Tipo_Viaje10"/>
      <sheetName val="Flota_y_Personal10"/>
      <sheetName val="TO_TTZ10"/>
      <sheetName val="CATÁLOGO_DE_PELIGROS10"/>
      <sheetName val="Razão_Social10"/>
      <sheetName val="Manage_to_Sustain10"/>
      <sheetName val="Packages_Info10"/>
      <sheetName val="Meeting_List10"/>
      <sheetName val="3__Training_&amp;_travel10"/>
      <sheetName val="info_for_drop_box10"/>
      <sheetName val="COE_Scope_-_Strategic_Project10"/>
      <sheetName val="SEGUIMIENTO_SEMANAL10"/>
      <sheetName val="Preferred_Option10"/>
      <sheetName val="KPIs-_TTP,_PTP,_People_Turnov10"/>
      <sheetName val="RyNV_detectados_10"/>
      <sheetName val="Curva_20219"/>
      <sheetName val="Por_PPR10"/>
      <sheetName val="2020_MMR1210"/>
      <sheetName val="입문_트랜드(종합분석)10"/>
      <sheetName val="Master_CE10"/>
      <sheetName val="CE_Final_10"/>
      <sheetName val="OL_LIST10"/>
      <sheetName val="YTD_GUEST_LIST10"/>
      <sheetName val="Session_Full_list10"/>
      <sheetName val="FOOD_PAYMENT_update_JAN10"/>
      <sheetName val="Rate_card_F19_10"/>
      <sheetName val="Master_Plan__(update)10"/>
      <sheetName val="The_KPI_10"/>
      <sheetName val="Mentor_Plan_10"/>
      <sheetName val="Master_Plan_10"/>
      <sheetName val="Tier_1_GOV_PC_Networking_10"/>
      <sheetName val="Tier_1_LBO_10"/>
      <sheetName val="FILIAL_MINAS10"/>
      <sheetName val="_손익기01_XL_x005f_x0000__x005f_x005f_x010"/>
      <sheetName val="1월_목표10"/>
      <sheetName val="POCM_배송지10"/>
      <sheetName val="CRITERIOS_DE_AI10"/>
      <sheetName val="Template_HN8"/>
      <sheetName val="Mapping_8"/>
      <sheetName val="WS_DB8"/>
      <sheetName val="Region_8"/>
      <sheetName val="SKU_DB8"/>
      <sheetName val="SAP_info8"/>
      <sheetName val="Target_Book8"/>
      <sheetName val="10_麦汁CIP清洗标准水量8"/>
      <sheetName val="데이터_유효성_목록8"/>
      <sheetName val="Ref_New_Contract_Model8"/>
      <sheetName val="_8"/>
      <sheetName val="Lista_AI8"/>
      <sheetName val="Name_List8"/>
      <sheetName val="Back_Data_110"/>
      <sheetName val="2_주요계수총괄10"/>
      <sheetName val="외주현황_wq19"/>
      <sheetName val="P_M_별11"/>
      <sheetName val="대투_보관자료_변경9"/>
      <sheetName val="Project_Brief10"/>
      <sheetName val="단면_(2)10"/>
      <sheetName val="부대시행1_(2)9"/>
      <sheetName val="1_차입금9"/>
      <sheetName val="근거_및_가정9"/>
      <sheetName val="118_세금과공과10"/>
      <sheetName val="_견적서9"/>
      <sheetName val="Facility_Information10"/>
      <sheetName val="1_본사계정별10"/>
      <sheetName val="3_6_2남양주택배9"/>
      <sheetName val="해외_기술훈련비_(합계)10"/>
      <sheetName val="설산1_나9"/>
      <sheetName val="PAD_TR보호대기초9"/>
      <sheetName val="1월_예산9"/>
      <sheetName val="Utility_Usage_YTN_TOWER9"/>
      <sheetName val="1__시공측량9"/>
      <sheetName val="수종별수량_(2)9"/>
      <sheetName val="전선_및_전선관9"/>
      <sheetName val="설문_평가9"/>
      <sheetName val="B-1_기본정보9"/>
      <sheetName val="납부내역총괄표_(수정)9"/>
      <sheetName val="#1)_투자_구분9"/>
      <sheetName val="Rev__Recon_18"/>
      <sheetName val="1_고객불만건수8"/>
      <sheetName val="1_변경범위8"/>
      <sheetName val="Weekly_Progress(계장)9"/>
      <sheetName val="2013_2월_연결대상9"/>
      <sheetName val="2-2_투자9"/>
      <sheetName val="Proj__Fin_9"/>
      <sheetName val="ITS_Assumptions8"/>
      <sheetName val="7_Utility_Analysis8"/>
      <sheetName val="Operational_Activities8"/>
      <sheetName val="13_포장용역비표준9"/>
      <sheetName val="9_가공부자재표준9"/>
      <sheetName val="8_ROLL표준(TSW)9"/>
      <sheetName val="4_톤당조관량표준9"/>
      <sheetName val="5_조관부자재표준9"/>
      <sheetName val="KEY_CODE9"/>
      <sheetName val="2-1_강사료,교통비_지급명세9"/>
      <sheetName val="HQ_급여_8"/>
      <sheetName val="OF_급여8"/>
      <sheetName val="F_Ma급여8"/>
      <sheetName val="SMT_급여8"/>
      <sheetName val="QC_급여8"/>
      <sheetName val="Sam_sung_급여8"/>
      <sheetName val="Dlock_급여8"/>
      <sheetName val="_thôi_việc_급여8"/>
      <sheetName val="Công_smt8"/>
      <sheetName val="Công_smt_(2)8"/>
      <sheetName val="Detail_smt8"/>
      <sheetName val="Công_QC8"/>
      <sheetName val="Detail_QC_8"/>
      <sheetName val="Công_SS8"/>
      <sheetName val="Detail_SS8"/>
      <sheetName val="Công_FMa8"/>
      <sheetName val="Detail_FMa8"/>
      <sheetName val="Công_OF8"/>
      <sheetName val="Detail_OF8"/>
      <sheetName val="Công_Dlock8"/>
      <sheetName val="Detail_Dlock8"/>
      <sheetName val="Công_thôi_việc8"/>
      <sheetName val="Detail_thôi8"/>
      <sheetName val="C1_3_18"/>
      <sheetName val="실행기성_갑지9"/>
      <sheetName val="Eq__Mobilization8"/>
      <sheetName val="1__작성방식8"/>
      <sheetName val="표)CFT장_조직별_배분8"/>
      <sheetName val="20180214_P&amp;T8"/>
      <sheetName val="Ref__중점_추진_과제별_상세8"/>
      <sheetName val="2_6_三无_(2)8"/>
      <sheetName val="수량산출서_갑지8"/>
      <sheetName val="G_R300경비8"/>
      <sheetName val="AS포장복구_8"/>
      <sheetName val="설_계8"/>
      <sheetName val="Worker_List8"/>
      <sheetName val="GB-IC_Villingen_GG8"/>
      <sheetName val="6월_공嚺㓶가8"/>
      <sheetName val="Exchange_rate8"/>
      <sheetName val="업무_분류(Category)8"/>
      <sheetName val="준검_내역서8"/>
      <sheetName val="날개수량1_58"/>
      <sheetName val="F_월별기성수금현황_8"/>
      <sheetName val="기초정보_코드8"/>
      <sheetName val="#1_Basic8"/>
      <sheetName val="첨부#2_Cash_Flow(현장작성)8"/>
      <sheetName val="3_일반사상8"/>
      <sheetName val="Bank_code8"/>
      <sheetName val="Drop-down_RAW8"/>
      <sheetName val="산자사_운전용품8"/>
      <sheetName val="보고서_표8"/>
      <sheetName val="0__가정_및_결론8"/>
      <sheetName val="1__투자비8"/>
      <sheetName val="2__Rent-roll8"/>
      <sheetName val="3__Funding8"/>
      <sheetName val="4__운영수익8"/>
      <sheetName val="5__운영비용8"/>
      <sheetName val="6_1_N+1년차_NOI_산정8"/>
      <sheetName val="6__부동산매각8"/>
      <sheetName val="7__보유세8"/>
      <sheetName val="8__교통유발부담금8"/>
      <sheetName val="9__BS부속8"/>
      <sheetName val="10__CF(M)8"/>
      <sheetName val="11__IS(M)8"/>
      <sheetName val="12__BS(M)8"/>
      <sheetName val="14__IS(FY)8"/>
      <sheetName val="13__CF(FY)8"/>
      <sheetName val="15__BS(FY)8"/>
      <sheetName val="16__RE(FY)8"/>
      <sheetName val="4_1_월별_에너지_사용량8"/>
      <sheetName val="조도계산서_(도서)8"/>
      <sheetName val="A(Rev_3)8"/>
      <sheetName val="STRAT_PLAN_WKSHT9"/>
      <sheetName val="Sales_Plan_&amp;_other9"/>
      <sheetName val="drop_downs8"/>
      <sheetName val="Basic_Information8"/>
      <sheetName val="7300-1000_119"/>
      <sheetName val="PJT_현황8"/>
      <sheetName val="진행_DATA_(2)8"/>
      <sheetName val="참고)_기준정보8"/>
      <sheetName val="Long_Term_Prices8"/>
      <sheetName val="구분_Table8"/>
      <sheetName val="역T형옹벽(3_0)8"/>
      <sheetName val="외상매출금현황-수정분_A28"/>
      <sheetName val="PF_현황(11년12월)8"/>
      <sheetName val="_손익기01_XL__DePara17"/>
      <sheetName val="입찰내역_Ĉ8"/>
      <sheetName val="Q4_20188"/>
      <sheetName val="Q4_20198"/>
      <sheetName val="Q4_Sum8"/>
      <sheetName val="2020_KPI_LE08"/>
      <sheetName val="match_list8"/>
      <sheetName val="Rate_data8"/>
      <sheetName val="Lista_d8"/>
      <sheetName val="Puerto_Rico8"/>
      <sheetName val="AI_OYS_Acum8"/>
      <sheetName val="Boletas_Condiciones8"/>
      <sheetName val="1_111"/>
      <sheetName val="1_210"/>
      <sheetName val="2_1-Pareto8"/>
      <sheetName val="Datos_Mensuales8"/>
      <sheetName val="Indicador_EE_Mensual8"/>
      <sheetName val="Detalle_para_correctivo_excep_8"/>
      <sheetName val="Catalogo_Cursos8"/>
      <sheetName val="Catalogo_Cursos_8"/>
      <sheetName val="Check_People8"/>
      <sheetName val="AVANCE_PROGRAMACION8"/>
      <sheetName val="Cumplimiento_por_Entrenamiento8"/>
      <sheetName val="Cumplimiento_del_Plan_por_área8"/>
      <sheetName val="CAPTURA_ENE_MAY8"/>
      <sheetName val="tablas_cuadrillas8"/>
      <sheetName val="Base_de_Datos_de_Activos_8"/>
      <sheetName val="PIVOT_ADHERENCIA8"/>
      <sheetName val="Steps_of_Committe_8"/>
      <sheetName val="IC's_(2)8"/>
      <sheetName val="Participación_en_entrenamie_(28"/>
      <sheetName val="Resumen_(hL_env)8"/>
      <sheetName val="KPI_need_to_input8"/>
      <sheetName val="강남_CRM_11월8"/>
      <sheetName val="Plan_de_Acción_MAZ7"/>
      <sheetName val="Manual_Database7"/>
      <sheetName val="Probability_and_Consequence7"/>
      <sheetName val="Total_marcas7"/>
      <sheetName val="Fase_17"/>
      <sheetName val="Fase_27"/>
      <sheetName val="Fase_37"/>
      <sheetName val="_손익기01_XL_x005f_x005f_x008"/>
      <sheetName val="SEM_x_area7"/>
      <sheetName val="8_Bars6"/>
      <sheetName val="TR__KHCode6"/>
      <sheetName val="NDD_CPT6"/>
      <sheetName val="_折扣项_PromotionPlan6"/>
      <sheetName val="CALEY_D__APPC4"/>
      <sheetName val="Inventario_inicial4"/>
      <sheetName val="PROYEC__DE_VENTAS4"/>
      <sheetName val="DIAGEO_VENTURE4"/>
      <sheetName val="MAESTRO_CODIGOS4"/>
      <sheetName val="Por_regional4"/>
      <sheetName val="Por_Proveedor4"/>
      <sheetName val="X_Categoria4"/>
      <sheetName val="Por_Vendedor4"/>
      <sheetName val="Por_Mayoristas4"/>
      <sheetName val="Por_Cliente4"/>
      <sheetName val="Por_producto4"/>
      <sheetName val="Por_producto_cant_4"/>
      <sheetName val="Por_producto_cant__(2)4"/>
      <sheetName val="Por_Vendedor_X_Ciudad4"/>
      <sheetName val="Act_por_cliente4"/>
      <sheetName val="Act_por_Proveedor4"/>
      <sheetName val="Act_por_producto4"/>
      <sheetName val="Read_me_Trad3"/>
      <sheetName val="Valores_de_selección3"/>
      <sheetName val="Project_Count2"/>
      <sheetName val="M&amp;Q_Lead2"/>
      <sheetName val="업무분장_2"/>
      <sheetName val="견적_맵2"/>
      <sheetName val="TOWER_12TON2"/>
      <sheetName val="TOWER_10TON2"/>
      <sheetName val="JIB_CRANE,HOIST2"/>
      <sheetName val="Diesel_Price_2"/>
      <sheetName val="전기요금_산출내역2"/>
      <sheetName val="노원열병합__건축공사기성내역서2"/>
      <sheetName val="문의내용_카테고리_분류(수정X)2"/>
      <sheetName val="Phieu_trinh_ky_cấu_tháp2"/>
      <sheetName val="Phieu_trinh_ky_VTP2"/>
      <sheetName val="KS-VL_rời2"/>
      <sheetName val="Tai_san2"/>
      <sheetName val="Check_dong_tien2"/>
      <sheetName val="Chi_phí_SDTS2"/>
      <sheetName val="Check_COST2"/>
      <sheetName val="DATA_HD2"/>
      <sheetName val="Tong_hop_1TM2"/>
      <sheetName val="NS_Lán_trại2"/>
      <sheetName val="Check_cong_no_NC2"/>
      <sheetName val="Investment_Category2"/>
      <sheetName val="Mot_So_Thuat_Ngu_EN-VI3"/>
      <sheetName val="시스템_개요_유효값2"/>
      <sheetName val="NG_Item2"/>
      <sheetName val="Ref__Spec_Review_양식2"/>
      <sheetName val="Ref__시험항목_테이블2"/>
      <sheetName val="Ref__Search_Result_테이블2"/>
      <sheetName val="20년_동일기간_소테마2"/>
      <sheetName val="control_sheet2"/>
      <sheetName val="JT3_0견적-구12"/>
      <sheetName val="Dropbox_목록2"/>
      <sheetName val="SPT_vs_PHI2"/>
      <sheetName val="수량산출서_(2)2"/>
      <sheetName val="1_수인터널3"/>
      <sheetName val="1-2_설계변경요청서(갑지)2"/>
      <sheetName val="첨부1_(주차관제-_당공)2"/>
      <sheetName val="첨부1-1_설계변경내역서(CCTV)2"/>
      <sheetName val="첨부1-2_(주차관제-변공)2"/>
      <sheetName val="2-6_변공량(추가공사)2"/>
      <sheetName val="_2-1_관제(물량산출서집계표)2"/>
      <sheetName val="_2-2_유도(물량산출서집계표)2"/>
      <sheetName val="3-1_주차관제2"/>
      <sheetName val="3-2_주차-광케이블2"/>
      <sheetName val="3-3_층별LPR2"/>
      <sheetName val="4-1_유도-광케이블2"/>
      <sheetName val="4-2_주차키오스크2"/>
      <sheetName val="4-3_4면카메라2"/>
      <sheetName val="4-5_CCTV2"/>
      <sheetName val="4-6_블럭유도등2"/>
      <sheetName val="4-7_입구만차등2"/>
      <sheetName val="4-8_비상벨2"/>
      <sheetName val="1~9_하중계산2"/>
      <sheetName val="BSD_(2)2"/>
      <sheetName val="방배동내역_(총괄)2"/>
      <sheetName val="NKC_(final)2"/>
      <sheetName val="NCR_HEC_6_Opens2"/>
      <sheetName val="NCR_HEC_4_Open_&amp;_Vendor_2_Open2"/>
      <sheetName val="무형자산_LS112"/>
      <sheetName val="2_FM_Fee_2차년도2"/>
      <sheetName val="3_감가장비2"/>
      <sheetName val="SRS_월별_BS3"/>
      <sheetName val="평가&amp;선급_미지급3"/>
      <sheetName val="EXC_IND2"/>
      <sheetName val="COLOR별_인쇄2"/>
      <sheetName val="Sensitivity_and_GC_Value2"/>
      <sheetName val="10_예산_및_원가_계획(02년)2"/>
      <sheetName val="TARGETS_BY_MONTH2"/>
      <sheetName val="2021_Customer_Targets_By_Month2"/>
      <sheetName val="Customer_Data2"/>
      <sheetName val="Total_Sales2"/>
      <sheetName val="April'21_(2)2"/>
      <sheetName val="MANUAL_DE_TOMA_DE_DECISIONES2"/>
      <sheetName val="PERS_+_OP`S2"/>
      <sheetName val="CLOSED_OUT_LETS__1"/>
      <sheetName val="TO_Data_Base33"/>
      <sheetName val="YTD_Summary32"/>
      <sheetName val="Month_Summary32"/>
      <sheetName val="Trial_Balance_MAY_200932"/>
      <sheetName val="TB_Pivot32"/>
      <sheetName val="total_per_LB_LB232"/>
      <sheetName val="Trial_Balance_Vlookup32"/>
      <sheetName val="Trial_Balance_APRIL_200932"/>
      <sheetName val="Roll_Out_AQ32"/>
      <sheetName val="Evolução_mandamentos32"/>
      <sheetName val="Planilha_resultados31"/>
      <sheetName val="Historico_200331"/>
      <sheetName val="Sig_Cycles_Accts_&amp;_Processes31"/>
      <sheetName val="Fixed_ZBB25"/>
      <sheetName val="E_法规NC25"/>
      <sheetName val="3_ISo_YTD25"/>
      <sheetName val="Données_LMU25"/>
      <sheetName val="Brazil_Sovereign25"/>
      <sheetName val="Resumen_Costo25"/>
      <sheetName val="Extract_Loss25"/>
      <sheetName val="QA_跟踪记录表25"/>
      <sheetName val="5_125"/>
      <sheetName val="Base_de_Dados25"/>
      <sheetName val="Como_Estamos25"/>
      <sheetName val="Controls_data27"/>
      <sheetName val="RG_Depots25"/>
      <sheetName val="material_data25"/>
      <sheetName val="other_data25"/>
      <sheetName val="Database_(RUR)Mar_YTD25"/>
      <sheetName val="SKU_Mapping25"/>
      <sheetName val="Drop_Down25"/>
      <sheetName val="Raw_Data25"/>
      <sheetName val="EBM-2_GHQ25"/>
      <sheetName val="Base_PEF26"/>
      <sheetName val="Testing_Template_Guidance25"/>
      <sheetName val="Test_Programs25"/>
      <sheetName val="Dados_BLP25"/>
      <sheetName val="FJJX_Bud_IB24"/>
      <sheetName val="JOB_PROFILE_-_LAS25"/>
      <sheetName val="ARdistr_(2)25"/>
      <sheetName val="look-up_data24"/>
      <sheetName val="Prd_Hierarchy(产品层级)24"/>
      <sheetName val="Com_(2PK)24"/>
      <sheetName val="Project_Code24"/>
      <sheetName val="요일_테이블25"/>
      <sheetName val="요일_테이블_(2)24"/>
      <sheetName val="Prd_Hierarchy(产品层次)24"/>
      <sheetName val="전사_PL26"/>
      <sheetName val="자금_제외_PL26"/>
      <sheetName val="자금_PL26"/>
      <sheetName val="전사_BS26"/>
      <sheetName val="자금_제외_BS26"/>
      <sheetName val="자금_BS26"/>
      <sheetName val="BS_계정_설명26"/>
      <sheetName val="_Cash_Flow(전사)26"/>
      <sheetName val="_Cash_Flow(자금제외)26"/>
      <sheetName val="_Cash_Flow(자금)26"/>
      <sheetName val="ROIC_26"/>
      <sheetName val="인건비_명세26"/>
      <sheetName val="판관비_명세26"/>
      <sheetName val="OH_Cost경비(내역)26"/>
      <sheetName val="OH_Cost경비(배부기준)26"/>
      <sheetName val="기타수지&amp;특별손익_명세26"/>
      <sheetName val="업무연락_(2)25"/>
      <sheetName val="제시_손익계산서25"/>
      <sheetName val="01_02월_성과급26"/>
      <sheetName val="M_7회차_담금_계획25"/>
      <sheetName val="팀별_실적25"/>
      <sheetName val="팀별_실적_(환산)25"/>
      <sheetName val="4__Inj_투자상세내역25"/>
      <sheetName val="3__Blow_투자_상세내역25"/>
      <sheetName val="Process_List25"/>
      <sheetName val="7_(2)25"/>
      <sheetName val="_손익기01_XL24"/>
      <sheetName val="Income_Stmt24"/>
      <sheetName val="drop_down_list24"/>
      <sheetName val="[손익기01_XL_x005f_x0000__x005f_x0000_DePara24"/>
      <sheetName val="Quarterly_LBO_Model24"/>
      <sheetName val="Figures_Report23"/>
      <sheetName val="[손익기01_XL24"/>
      <sheetName val="_손익기01_XL_x005f_x0000__x005f_x0000_DePara24"/>
      <sheetName val="Fare_prices23"/>
      <sheetName val="Hotel_prices23"/>
      <sheetName val="Set_Up24"/>
      <sheetName val="15년_BL_사계24"/>
      <sheetName val="1_종합손익(도급)24"/>
      <sheetName val="1_종합손익(주택,개발)24"/>
      <sheetName val="2_실행예산24"/>
      <sheetName val="2_2과부족24"/>
      <sheetName val="2_3원가절감24"/>
      <sheetName val="8_외주비집행현황24"/>
      <sheetName val="9_자재비24"/>
      <sheetName val="10_현장집행24"/>
      <sheetName val="3_추가원가24"/>
      <sheetName val="3_추가원가_(2)24"/>
      <sheetName val="4_사전공사24"/>
      <sheetName val="5_추정공사비24"/>
      <sheetName val="6_금융비용24"/>
      <sheetName val="7_공사비집행현황(총괄)24"/>
      <sheetName val="11_1생산성24"/>
      <sheetName val="11_2인원산출24"/>
      <sheetName val="Classification_分类23"/>
      <sheetName val="tab_STATUS_DO_PROCESSO_23"/>
      <sheetName val="Perf__Plan__Diário123"/>
      <sheetName val="In_(2)23"/>
      <sheetName val="__한국_AMP_ASP-23_판매가격__23"/>
      <sheetName val="CC_Down_load_071623"/>
      <sheetName val="변경실행(2차)_23"/>
      <sheetName val="나_출고23"/>
      <sheetName val="나_입고23"/>
      <sheetName val="09년_인건비(속리산)23"/>
      <sheetName val="합산목표(감가+57_5)23"/>
      <sheetName val="제조원가_원단위_분석23"/>
      <sheetName val="종합표양식(품의_&amp;_입고)_223"/>
      <sheetName val="원가관리_(동월대비)23"/>
      <sheetName val="b_balju_(2)23"/>
      <sheetName val="2-2_매출분석23"/>
      <sheetName val="몰드시스템_리스트23"/>
      <sheetName val="11_외화채무증권(AFS,HTM)0823"/>
      <sheetName val="13_감액TEST_0823"/>
      <sheetName val="12년_CF(9월)23"/>
      <sheetName val="중기조종사_단위단가23"/>
      <sheetName val="6PILE__(돌출)23"/>
      <sheetName val="기성청구_공문23"/>
      <sheetName val="Sheet1_(2)23"/>
      <sheetName val="CLASIFICACION_DE_AI23"/>
      <sheetName val="Base_da_Datos23"/>
      <sheetName val="slide_24_cat_A23"/>
      <sheetName val="slide_82_cat_b23"/>
      <sheetName val="Dados_dos_Produtos23"/>
      <sheetName val="09~10년_매출계획23"/>
      <sheetName val="1_MDF1공장23"/>
      <sheetName val="Incident_유형구분표23"/>
      <sheetName val="3YP2016-Bottom_up22"/>
      <sheetName val="DD_list23"/>
      <sheetName val="Base_de_Datos22"/>
      <sheetName val="Clasif_22"/>
      <sheetName val="Supply_Cost_Centers22"/>
      <sheetName val="Cond__Inseguros22"/>
      <sheetName val="Comp__Inseguros22"/>
      <sheetName val="Lista_de_datos22"/>
      <sheetName val="MASTER_APP22"/>
      <sheetName val="2_카드채권(대출포함)22"/>
      <sheetName val="表21_净利润调节表22"/>
      <sheetName val="Lista_CI22"/>
      <sheetName val="Dashboard_Prevención_Riesgos_21"/>
      <sheetName val="TOP_KPIs_MTM21"/>
      <sheetName val="PLAN_DE_ACCION21"/>
      <sheetName val="Faro_de_Indicadores21"/>
      <sheetName val="Farol_Acciones22"/>
      <sheetName val="Lista_de_Entrenamientos22"/>
      <sheetName val="Unidades_SAC-REVENDA23"/>
      <sheetName val="FornecM_Check21"/>
      <sheetName val="Share_Price_200222"/>
      <sheetName val="_DD_List22"/>
      <sheetName val="BEP_加薪_KPI21"/>
      <sheetName val="Estratificación_AI21"/>
      <sheetName val="condicion_inseguras21"/>
      <sheetName val="Actos_Inseguros21"/>
      <sheetName val="Control_de_incidentes21"/>
      <sheetName val="Plan_de_Acción21"/>
      <sheetName val="Issues_List_Payments21"/>
      <sheetName val="do_not_delete21"/>
      <sheetName val="Grafica_Actos21"/>
      <sheetName val="APAC_S21"/>
      <sheetName val="APAC_N21"/>
      <sheetName val="Slide_output21"/>
      <sheetName val="[손익기01_XL??DePara21"/>
      <sheetName val="Farol_Metas21"/>
      <sheetName val="Mod_Relac_21"/>
      <sheetName val="Condiciones_SyE21"/>
      <sheetName val="REALxMETA_-_CERVEJA23"/>
      <sheetName val="REALxMETA_-_REFRI23"/>
      <sheetName val="Directrices_de_Metas_201721"/>
      <sheetName val="Data_validation21"/>
      <sheetName val="_손익기01_XL_x005f_x005f_x005f_x0000__x005f_x005f_21"/>
      <sheetName val="Hazards_Analysis-隐患分析21"/>
      <sheetName val="F08_-_Asia_Pac_Full_Year_Q322"/>
      <sheetName val="Top_Priorities22"/>
      <sheetName val="Listco_Stock22"/>
      <sheetName val="Intl_Purchase22"/>
      <sheetName val="FY_outlook22"/>
      <sheetName val="CY_outlook22"/>
      <sheetName val="Cash_metrics22"/>
      <sheetName val="P6_722"/>
      <sheetName val="DATOS_BASE21"/>
      <sheetName val="97_사업추정(WEKI)21"/>
      <sheetName val="Tong_hop21"/>
      <sheetName val="95_1_1이후취득자산(숨기기상태)21"/>
      <sheetName val="sum1_(2)21"/>
      <sheetName val="3_바닥판설계21"/>
      <sheetName val="6월_공정외주21"/>
      <sheetName val="2_대외공문21"/>
      <sheetName val="2_총괄표21"/>
      <sheetName val="입출재고현황_(2)21"/>
      <sheetName val="504전기실_동부하-L21"/>
      <sheetName val="OUTER_AREA(겹침없음)21"/>
      <sheetName val="EL_표면적21"/>
      <sheetName val="TRE_TABLE21"/>
      <sheetName val="입찰내역_발주처_양식21"/>
      <sheetName val="POC_LIST21"/>
      <sheetName val="turnover_reason퇴직사유21"/>
      <sheetName val="SKU_Basic_Data21"/>
      <sheetName val="Entity_Target21"/>
      <sheetName val="DETALLE_MENSUAL21"/>
      <sheetName val="Drop-down_List20"/>
      <sheetName val="by_DD20"/>
      <sheetName val="VALIDACION_DE_DATOS20"/>
      <sheetName val="Jul-Sep_Actual_cost_(2)20"/>
      <sheetName val="Check_Qualidade19"/>
      <sheetName val="De_Para20"/>
      <sheetName val="Check_Aderencia19"/>
      <sheetName val="_손익기01_XL_x005f_x0000__x019"/>
      <sheetName val="부재료_비교(11년_vs_10년)19"/>
      <sheetName val="Base_Farol19"/>
      <sheetName val="Gerencial_IL19"/>
      <sheetName val="Ventas_Campo19"/>
      <sheetName val="ACTOS_POR_RIESGO19"/>
      <sheetName val="drop_lists19"/>
      <sheetName val="MRL_NON_SUPPLY_URU19"/>
      <sheetName val="AIIM_-_Empresas_Ext_201219"/>
      <sheetName val="KPIs_Hana19"/>
      <sheetName val="Catalago_de_refacciones_19"/>
      <sheetName val="Existencias_al_07-Nov-201219"/>
      <sheetName val="Check_GG19"/>
      <sheetName val="Sheet3_(2)19"/>
      <sheetName val="Nombre_de_SOP19"/>
      <sheetName val="Lao_&amp;_Cam19"/>
      <sheetName val="Hoegaarden_201919"/>
      <sheetName val="Lao_&amp;_Cam_201919"/>
      <sheetName val="Malaysia_201919"/>
      <sheetName val="Singapore_201919"/>
      <sheetName val="Sheet2_(2)19"/>
      <sheetName val="요일_테이블_19"/>
      <sheetName val="Other_Listings19"/>
      <sheetName val="2__Indicadores19"/>
      <sheetName val="Ta_19"/>
      <sheetName val="Lista_de_Entrenamientos_RSO19"/>
      <sheetName val="Tablero_SDG22"/>
      <sheetName val="Lista_Areas22"/>
      <sheetName val="One_Page22"/>
      <sheetName val="Sub-Productos_HN20"/>
      <sheetName val="Eficiencia_linea19"/>
      <sheetName val="_mngt_Pillar19"/>
      <sheetName val="Pauta_RPS_Distribuição18"/>
      <sheetName val="Estoque_(2)18"/>
      <sheetName val="BNR_2012_в_ящике18"/>
      <sheetName val="Comp_Inseguros18"/>
      <sheetName val="DO_NOT_MOVE18"/>
      <sheetName val="DATOS_DE_VALIDACIÓN18"/>
      <sheetName val="Datos_con18"/>
      <sheetName val="_Datos_Cond_18"/>
      <sheetName val="INGRESO_(2)18"/>
      <sheetName val="PG-K1610_(UEN_Areas)MNG18"/>
      <sheetName val="DATOS_GEN_18"/>
      <sheetName val="NUEVOS_CRITERIOS18"/>
      <sheetName val="Condiciones_Agua18"/>
      <sheetName val="__한국_AMP_ASP-23_판㧤가격__17"/>
      <sheetName val="11_䡸화채무줝ⴌ(AFS,HTM)0817"/>
      <sheetName val="Drop_list17"/>
      <sheetName val="FX_Rates17"/>
      <sheetName val="Dropdown_list17"/>
      <sheetName val="Vagas_x_Candidatos17"/>
      <sheetName val="Proced_17"/>
      <sheetName val="Cut_Machine_Summary17"/>
      <sheetName val="Control_de_Fallas17"/>
      <sheetName val="Setup_for_Templates17"/>
      <sheetName val="Datos_emp17"/>
      <sheetName val="Validation_lists17"/>
      <sheetName val="TIPO_DE_ACTO17"/>
      <sheetName val="CRITICIDAD_DE_CI17"/>
      <sheetName val="Catálogo_de_CI17"/>
      <sheetName val="%_CUMPLIMIENTO17"/>
      <sheetName val="%_cumplimiento_17"/>
      <sheetName val="CALIFICACIONES_201915"/>
      <sheetName val="Lev_4_360_deg_check_Crit_Task15"/>
      <sheetName val="Lev_4_Chk_IC_Stock_Crit_Task15"/>
      <sheetName val="Lev_4_WMS_Putaway_Crit_Task15"/>
      <sheetName val="Listas_y_equipos_a_evaluar17"/>
      <sheetName val="Data_Reporte17"/>
      <sheetName val="Read_me17"/>
      <sheetName val="PDA_BOP14"/>
      <sheetName val="Análise_Tempos14"/>
      <sheetName val="Listas_desplegables12"/>
      <sheetName val="Validação_de_Dados14"/>
      <sheetName val="Status_de_Usuario12"/>
      <sheetName val="Resumen_General12"/>
      <sheetName val="Cátalogo_de_CI12"/>
      <sheetName val="Hoja2_(2)12"/>
      <sheetName val="Technology_check_list12"/>
      <sheetName val="Actos_y_Condiciones_12"/>
      <sheetName val="NO_BORRAR12"/>
      <sheetName val="Champions_List16"/>
      <sheetName val="NAZ_Strategy15"/>
      <sheetName val="Daily_Dashboard17"/>
      <sheetName val="Incentivo_Automóvil14"/>
      <sheetName val="Mapeo_SKUs17"/>
      <sheetName val="Vol_(Ds)17"/>
      <sheetName val="Vol_(Ka)17"/>
      <sheetName val="Vol_(Oth)17"/>
      <sheetName val="Vol_(Oth)_Cortesias17"/>
      <sheetName val="INPUT-Cust_Sugg_Margin(Ds)17"/>
      <sheetName val="On_Invoice17"/>
      <sheetName val="INPUT-Cust_Sugg_Margin(Ka)17"/>
      <sheetName val="INPUT_SKUs17"/>
      <sheetName val="Brand_P&amp;L15"/>
      <sheetName val="SUPERMONT_P15"/>
      <sheetName val="Data_selection15"/>
      <sheetName val="1_30"/>
      <sheetName val="Customer_&amp;_SO15"/>
      <sheetName val="Session_Proposal15"/>
      <sheetName val="No_llenar_14"/>
      <sheetName val="PROCESS_MD14"/>
      <sheetName val="Formato_checklist_Lab12"/>
      <sheetName val="Project_List13"/>
      <sheetName val="Dropdown_Menu13"/>
      <sheetName val="Lista_de_Motivos14"/>
      <sheetName val="Ponto_Crítico_-_Resp__Plano14"/>
      <sheetName val="Lista_Funcionários_(2)14"/>
      <sheetName val="PAINEL_RECOLHA_CRÉDITO14"/>
      <sheetName val="Gráficos_-_CDD14"/>
      <sheetName val="Tipo_Viaje11"/>
      <sheetName val="Flota_y_Personal11"/>
      <sheetName val="TO_TTZ11"/>
      <sheetName val="CATÁLOGO_DE_PELIGROS11"/>
      <sheetName val="Выпадающие_списки13"/>
      <sheetName val="유류대_현황12"/>
      <sheetName val="2_3_Projects_Status12"/>
      <sheetName val="mapping_(2)12"/>
      <sheetName val="Ref_12"/>
      <sheetName val="SOP_Freshness12"/>
      <sheetName val="1__템플릿12"/>
      <sheetName val="2__작성_참고사항12"/>
      <sheetName val="Master_Data12"/>
      <sheetName val="Consolidated_Project_List12"/>
      <sheetName val="Fixed_Cost12"/>
      <sheetName val="Dimension_IN_Sheet1!D191212"/>
      <sheetName val="Dimension_IN_191212"/>
      <sheetName val="Razão_Social11"/>
      <sheetName val="Manage_to_Sustain11"/>
      <sheetName val="Packages_Info11"/>
      <sheetName val="Meeting_List11"/>
      <sheetName val="3__Training_&amp;_travel11"/>
      <sheetName val="info_for_drop_box11"/>
      <sheetName val="COE_Scope_-_Strategic_Project11"/>
      <sheetName val="SEGUIMIENTO_SEMANAL11"/>
      <sheetName val="2020_MMR1211"/>
      <sheetName val="입문_트랜드(종합분석)11"/>
      <sheetName val="Master_CE11"/>
      <sheetName val="CE_Final_11"/>
      <sheetName val="OL_LIST11"/>
      <sheetName val="YTD_GUEST_LIST11"/>
      <sheetName val="Session_Full_list11"/>
      <sheetName val="FOOD_PAYMENT_update_JAN11"/>
      <sheetName val="Rate_card_F19_11"/>
      <sheetName val="Master_Plan__(update)11"/>
      <sheetName val="The_KPI_11"/>
      <sheetName val="Mentor_Plan_11"/>
      <sheetName val="Master_Plan_11"/>
      <sheetName val="Tier_1_GOV_PC_Networking_11"/>
      <sheetName val="Tier_1_LBO_11"/>
      <sheetName val="Preferred_Option11"/>
      <sheetName val="FILIAL_MINAS11"/>
      <sheetName val="_손익기01_XL_x005f_x0000__x005f_x005f_x011"/>
      <sheetName val="KPIs-_TTP,_PTP,_People_Turnov11"/>
      <sheetName val="1월_목표11"/>
      <sheetName val="POCM_배송지11"/>
      <sheetName val="RyNV_detectados_11"/>
      <sheetName val="Curva_202110"/>
      <sheetName val="Por_PPR11"/>
      <sheetName val="Mapping_9"/>
      <sheetName val="WS_DB9"/>
      <sheetName val="Region_9"/>
      <sheetName val="SKU_DB9"/>
      <sheetName val="SAP_info9"/>
      <sheetName val="Target_Book9"/>
      <sheetName val="10_麦汁CIP清洗标准水量9"/>
      <sheetName val="데이터_유효성_목록9"/>
      <sheetName val="Ref_New_Contract_Model9"/>
      <sheetName val="_9"/>
      <sheetName val="Lista_AI9"/>
      <sheetName val="CRITERIOS_DE_AI11"/>
      <sheetName val="Template_HN9"/>
      <sheetName val="Lista_d9"/>
      <sheetName val="Name_List9"/>
      <sheetName val="Back_Data_111"/>
      <sheetName val="2_주요계수총괄11"/>
      <sheetName val="외주현황_wq110"/>
      <sheetName val="P_M_별12"/>
      <sheetName val="대투_보관자료_변경10"/>
      <sheetName val="Project_Brief11"/>
      <sheetName val="단면_(2)11"/>
      <sheetName val="부대시행1_(2)10"/>
      <sheetName val="1_차입금10"/>
      <sheetName val="근거_및_가정10"/>
      <sheetName val="118_세금과공과11"/>
      <sheetName val="_견적서10"/>
      <sheetName val="Facility_Information11"/>
      <sheetName val="1_본사계정별11"/>
      <sheetName val="3_6_2남양주택배10"/>
      <sheetName val="해외_기술훈련비_(합계)11"/>
      <sheetName val="설산1_나10"/>
      <sheetName val="PAD_TR보호대기초10"/>
      <sheetName val="1월_예산10"/>
      <sheetName val="Utility_Usage_YTN_TOWER10"/>
      <sheetName val="1__시공측량10"/>
      <sheetName val="수종별수량_(2)10"/>
      <sheetName val="전선_및_전선관10"/>
      <sheetName val="설문_평가10"/>
      <sheetName val="B-1_기본정보10"/>
      <sheetName val="납부내역총괄표_(수정)10"/>
      <sheetName val="#1)_투자_구분10"/>
      <sheetName val="Rev__Recon_19"/>
      <sheetName val="1_고객불만건수9"/>
      <sheetName val="1_변경범위9"/>
      <sheetName val="Weekly_Progress(계장)10"/>
      <sheetName val="2013_2월_연결대상10"/>
      <sheetName val="2-2_투자10"/>
      <sheetName val="Proj__Fin_10"/>
      <sheetName val="ITS_Assumptions9"/>
      <sheetName val="7_Utility_Analysis9"/>
      <sheetName val="Operational_Activities9"/>
      <sheetName val="13_포장용역비표준10"/>
      <sheetName val="9_가공부자재표준10"/>
      <sheetName val="8_ROLL표준(TSW)10"/>
      <sheetName val="4_톤당조관량표준10"/>
      <sheetName val="5_조관부자재표준10"/>
      <sheetName val="KEY_CODE10"/>
      <sheetName val="2-1_강사료,교통비_지급명세10"/>
      <sheetName val="HQ_급여_9"/>
      <sheetName val="OF_급여9"/>
      <sheetName val="F_Ma급여9"/>
      <sheetName val="SMT_급여9"/>
      <sheetName val="QC_급여9"/>
      <sheetName val="Sam_sung_급여9"/>
      <sheetName val="Dlock_급여9"/>
      <sheetName val="_thôi_việc_급여9"/>
      <sheetName val="Công_smt9"/>
      <sheetName val="Công_smt_(2)9"/>
      <sheetName val="Detail_smt9"/>
      <sheetName val="Công_QC9"/>
      <sheetName val="Detail_QC_9"/>
      <sheetName val="Công_SS9"/>
      <sheetName val="Detail_SS9"/>
      <sheetName val="Công_FMa9"/>
      <sheetName val="Detail_FMa9"/>
      <sheetName val="Công_OF9"/>
      <sheetName val="Detail_OF9"/>
      <sheetName val="Công_Dlock9"/>
      <sheetName val="Detail_Dlock9"/>
      <sheetName val="Công_thôi_việc9"/>
      <sheetName val="Detail_thôi9"/>
      <sheetName val="C1_3_19"/>
      <sheetName val="실행기성_갑지10"/>
      <sheetName val="Eq__Mobilization9"/>
      <sheetName val="1__작성방식9"/>
      <sheetName val="표)CFT장_조직별_배분9"/>
      <sheetName val="20180214_P&amp;T9"/>
      <sheetName val="Ref__중점_추진_과제별_상세9"/>
      <sheetName val="2_6_三无_(2)9"/>
      <sheetName val="수량산출서_갑지9"/>
      <sheetName val="G_R300경비9"/>
      <sheetName val="AS포장복구_9"/>
      <sheetName val="설_계9"/>
      <sheetName val="Worker_List9"/>
      <sheetName val="GB-IC_Villingen_GG9"/>
      <sheetName val="6월_공嚺㓶가9"/>
      <sheetName val="Exchange_rate9"/>
      <sheetName val="업무_분류(Category)9"/>
      <sheetName val="준검_내역서9"/>
      <sheetName val="날개수량1_59"/>
      <sheetName val="F_월별기성수금현황_9"/>
      <sheetName val="기초정보_코드9"/>
      <sheetName val="#1_Basic9"/>
      <sheetName val="첨부#2_Cash_Flow(현장작성)9"/>
      <sheetName val="3_일반사상9"/>
      <sheetName val="Bank_code9"/>
      <sheetName val="Drop-down_RAW9"/>
      <sheetName val="산자사_운전용품9"/>
      <sheetName val="보고서_표9"/>
      <sheetName val="0__가정_및_결론9"/>
      <sheetName val="1__투자비9"/>
      <sheetName val="2__Rent-roll9"/>
      <sheetName val="3__Funding9"/>
      <sheetName val="4__운영수익9"/>
      <sheetName val="5__운영비용9"/>
      <sheetName val="6_1_N+1년차_NOI_산정9"/>
      <sheetName val="6__부동산매각9"/>
      <sheetName val="7__보유세9"/>
      <sheetName val="8__교통유발부담금9"/>
      <sheetName val="9__BS부속9"/>
      <sheetName val="10__CF(M)9"/>
      <sheetName val="11__IS(M)9"/>
      <sheetName val="12__BS(M)9"/>
      <sheetName val="14__IS(FY)9"/>
      <sheetName val="13__CF(FY)9"/>
      <sheetName val="15__BS(FY)9"/>
      <sheetName val="16__RE(FY)9"/>
      <sheetName val="4_1_월별_에너지_사용량9"/>
      <sheetName val="조도계산서_(도서)9"/>
      <sheetName val="A(Rev_3)9"/>
      <sheetName val="STRAT_PLAN_WKSHT10"/>
      <sheetName val="Sales_Plan_&amp;_other10"/>
      <sheetName val="drop_downs9"/>
      <sheetName val="Basic_Information9"/>
      <sheetName val="7300-1000_1110"/>
      <sheetName val="PJT_현황9"/>
      <sheetName val="진행_DATA_(2)9"/>
      <sheetName val="참고)_기준정보9"/>
      <sheetName val="Long_Term_Prices9"/>
      <sheetName val="구분_Table9"/>
      <sheetName val="역T형옹벽(3_0)9"/>
      <sheetName val="외상매출금현황-수정분_A29"/>
      <sheetName val="PF_현황(11년12월)9"/>
      <sheetName val="_손익기01_XL__DePara18"/>
      <sheetName val="입찰내역_Ĉ9"/>
      <sheetName val="Q4_20189"/>
      <sheetName val="Q4_20199"/>
      <sheetName val="Q4_Sum9"/>
      <sheetName val="2020_KPI_LE09"/>
      <sheetName val="match_list9"/>
      <sheetName val="Rate_data9"/>
      <sheetName val="Catalogo_Cursos9"/>
      <sheetName val="Catalogo_Cursos_9"/>
      <sheetName val="Check_People9"/>
      <sheetName val="AVANCE_PROGRAMACION9"/>
      <sheetName val="Cumplimiento_por_Entrenamiento9"/>
      <sheetName val="Cumplimiento_del_Plan_por_área9"/>
      <sheetName val="CAPTURA_ENE_MAY9"/>
      <sheetName val="tablas_cuadrillas9"/>
      <sheetName val="Base_de_Datos_de_Activos_9"/>
      <sheetName val="PIVOT_ADHERENCIA9"/>
      <sheetName val="Steps_of_Committe_9"/>
      <sheetName val="IC's_(2)9"/>
      <sheetName val="Participación_en_entrenamie_(29"/>
      <sheetName val="Detalle_para_correctivo_excep_9"/>
      <sheetName val="Puerto_Rico9"/>
      <sheetName val="AI_OYS_Acum9"/>
      <sheetName val="Boletas_Condiciones9"/>
      <sheetName val="1_112"/>
      <sheetName val="1_211"/>
      <sheetName val="2_1-Pareto9"/>
      <sheetName val="Datos_Mensuales9"/>
      <sheetName val="Indicador_EE_Mensual9"/>
      <sheetName val="Nigeria_&amp;_Ghana8"/>
      <sheetName val="Resumen_(hL_env)9"/>
      <sheetName val="KPI_need_to_input9"/>
      <sheetName val="강남_CRM_11월9"/>
      <sheetName val="Plan_de_Acción_MAZ8"/>
      <sheetName val="Manual_Database8"/>
      <sheetName val="Probability_and_Consequence8"/>
      <sheetName val="_손익기01_XL_x005f_x005f_x009"/>
      <sheetName val="Total_marcas8"/>
      <sheetName val="Fase_18"/>
      <sheetName val="Fase_28"/>
      <sheetName val="Fase_38"/>
      <sheetName val="SEM_x_area8"/>
      <sheetName val="DEX_(2)7"/>
      <sheetName val="TR__KHCode7"/>
      <sheetName val="NDD_CPT7"/>
      <sheetName val="_折扣项_PromotionPlan7"/>
      <sheetName val="8_Bars7"/>
      <sheetName val="CALEY_D__APPC5"/>
      <sheetName val="Inventario_inicial5"/>
      <sheetName val="PROYEC__DE_VENTAS5"/>
      <sheetName val="Valores_de_selección4"/>
      <sheetName val="DIAGEO_VENTURE5"/>
      <sheetName val="MAESTRO_CODIGOS5"/>
      <sheetName val="Por_regional5"/>
      <sheetName val="Por_Proveedor5"/>
      <sheetName val="X_Categoria5"/>
      <sheetName val="Por_Vendedor5"/>
      <sheetName val="Por_Mayoristas5"/>
      <sheetName val="Por_Cliente5"/>
      <sheetName val="Por_producto5"/>
      <sheetName val="Por_producto_cant_5"/>
      <sheetName val="Por_producto_cant__(2)5"/>
      <sheetName val="Por_Vendedor_X_Ciudad5"/>
      <sheetName val="Act_por_cliente5"/>
      <sheetName val="Act_por_Proveedor5"/>
      <sheetName val="Act_por_producto5"/>
      <sheetName val="Project_Count3"/>
      <sheetName val="M&amp;Q_Lead3"/>
      <sheetName val="업무분장_3"/>
      <sheetName val="견적_맵3"/>
      <sheetName val="TOWER_12TON3"/>
      <sheetName val="TOWER_10TON3"/>
      <sheetName val="JIB_CRANE,HOIST3"/>
      <sheetName val="Diesel_Price_3"/>
      <sheetName val="전기요금_산출내역3"/>
      <sheetName val="노원열병합__건축공사기성내역서3"/>
      <sheetName val="문의내용_카테고리_분류(수정X)3"/>
      <sheetName val="Phieu_trinh_ky_cấu_tháp3"/>
      <sheetName val="Phieu_trinh_ky_VTP3"/>
      <sheetName val="KS-VL_rời3"/>
      <sheetName val="Tai_san3"/>
      <sheetName val="Check_dong_tien3"/>
      <sheetName val="Chi_phí_SDTS3"/>
      <sheetName val="Check_COST3"/>
      <sheetName val="DATA_HD3"/>
      <sheetName val="Tong_hop_1TM3"/>
      <sheetName val="NS_Lán_trại3"/>
      <sheetName val="Check_cong_no_NC3"/>
      <sheetName val="Investment_Category3"/>
      <sheetName val="Mot_So_Thuat_Ngu_EN-VI4"/>
      <sheetName val="시스템_개요_유효값3"/>
      <sheetName val="NG_Item3"/>
      <sheetName val="Ref__Spec_Review_양식3"/>
      <sheetName val="Ref__시험항목_테이블3"/>
      <sheetName val="Ref__Search_Result_테이블3"/>
      <sheetName val="20년_동일기간_소테마3"/>
      <sheetName val="control_sheet3"/>
      <sheetName val="JT3_0견적-구13"/>
      <sheetName val="Dropbox_목록3"/>
      <sheetName val="SPT_vs_PHI3"/>
      <sheetName val="수량산출서_(2)3"/>
      <sheetName val="1_수인터널4"/>
      <sheetName val="1-2_설계변경요청서(갑지)3"/>
      <sheetName val="첨부1_(주차관제-_당공)3"/>
      <sheetName val="첨부1-1_설계변경내역서(CCTV)3"/>
      <sheetName val="첨부1-2_(주차관제-변공)3"/>
      <sheetName val="2-6_변공량(추가공사)3"/>
      <sheetName val="_2-1_관제(물량산출서집계표)3"/>
      <sheetName val="_2-2_유도(물량산출서집계표)3"/>
      <sheetName val="3-1_주차관제3"/>
      <sheetName val="3-2_주차-광케이블3"/>
      <sheetName val="3-3_층별LPR3"/>
      <sheetName val="4-1_유도-광케이블3"/>
      <sheetName val="4-2_주차키오스크3"/>
      <sheetName val="4-3_4면카메라3"/>
      <sheetName val="4-5_CCTV3"/>
      <sheetName val="4-6_블럭유도등3"/>
      <sheetName val="4-7_입구만차등3"/>
      <sheetName val="4-8_비상벨3"/>
      <sheetName val="1~9_하중계산3"/>
      <sheetName val="BSD_(2)3"/>
      <sheetName val="방배동내역_(총괄)3"/>
      <sheetName val="NKC_(final)3"/>
      <sheetName val="NCR_HEC_6_Opens3"/>
      <sheetName val="NCR_HEC_4_Open_&amp;_Vendor_2_Open3"/>
      <sheetName val="무형자산_LS113"/>
      <sheetName val="2_FM_Fee_2차년도3"/>
      <sheetName val="3_감가장비3"/>
      <sheetName val="SRS_월별_BS4"/>
      <sheetName val="평가&amp;선급_미지급4"/>
      <sheetName val="EXC_IND3"/>
      <sheetName val="COLOR별_인쇄3"/>
      <sheetName val="Sensitivity_and_GC_Value3"/>
      <sheetName val="10_예산_및_원가_계획(02년)3"/>
      <sheetName val="TARGETS_BY_MONTH3"/>
      <sheetName val="2021_Customer_Targets_By_Month3"/>
      <sheetName val="Customer_Data3"/>
      <sheetName val="Total_Sales3"/>
      <sheetName val="April'21_(2)3"/>
      <sheetName val="MANUAL_DE_TOMA_DE_DECISIONES3"/>
      <sheetName val="PERS_+_OP`S3"/>
      <sheetName val="Read_me_Trad4"/>
      <sheetName val="CLOSED_OUT_LETS__2"/>
      <sheetName val="7_Bars"/>
      <sheetName val="SEM_23"/>
      <sheetName val="Data_Maestra"/>
      <sheetName val="Comments_(2)"/>
      <sheetName val="Plant_Micro_Index_Weekly"/>
      <sheetName val="Data_Maestra1"/>
      <sheetName val="SEM_232"/>
      <sheetName val="SEM_231"/>
      <sheetName val="CRITERIOS EVALUACIÓN "/>
      <sheetName val="SEM_233"/>
      <sheetName val="Data_Maestra2"/>
      <sheetName val="SEM_234"/>
      <sheetName val="Data_Maestra3"/>
      <sheetName val="CRITERIOS_EVALUACIÓN_"/>
      <sheetName val="SEM_235"/>
      <sheetName val="Data_Maestra4"/>
      <sheetName val="CRITERIOS_EVALUACIÓN_1"/>
      <sheetName val="SEM_236"/>
      <sheetName val="Data_Maestra5"/>
      <sheetName val="CRITERIOS_EVALUACIÓN_2"/>
      <sheetName val="M1"/>
      <sheetName val="52 - Em chamados cerveja"/>
      <sheetName val="2_실행ﶻĉ"/>
      <sheetName val="01_02월_성B"/>
      <sheetName val="나_출"/>
      <sheetName val="국내"/>
      <sheetName val="_Cash_Flow(자"/>
      <sheetName val="설비등록_x0010_"/>
      <sheetName val="2_실행ﶻ_x001e_"/>
      <sheetName val="[손익기01.XLDePara"/>
      <sheetName val="_손익기01.XLDePara"/>
      <sheetName val="_손익기01.XL_x0"/>
      <sheetName val="_x0005__x0001_"/>
      <sheetName val="_x0005_ÿ_x000f_ÿ"/>
      <sheetName val="sum_x0008__x000d__x0006_"/>
      <sheetName val="_x0005_"/>
      <sheetName val="_x005f_x0000___x0005_㴐ኰ"/>
      <sheetName val="_x005f_x0000___x0005_움ᕕ"/>
      <sheetName val="OH _x000f__x000c__x0006__x0005__x000c_"/>
      <sheetName val="_x0004__x0002__x0002__x0005__x0008_"/>
      <sheetName val="useless"/>
      <sheetName val="Entrega Beneficios"/>
      <sheetName val="Gráficos"/>
      <sheetName val="WGS_TOT_KA_Segmentation2"/>
      <sheetName val="WGSK_SEGMENTATION2"/>
      <sheetName val="WGSK_Venue_Segment2"/>
      <sheetName val="Plant_assumptions2"/>
      <sheetName val="GH_GM1"/>
      <sheetName val="FES_PM1"/>
      <sheetName val="FES_GM1"/>
      <sheetName val="SATZ_GM1"/>
      <sheetName val="LE_(VND)1"/>
      <sheetName val="WGS_TOT_KA_Segmentation3"/>
      <sheetName val="WGSK_SEGMENTATION3"/>
      <sheetName val="WGSK_Venue_Segment3"/>
      <sheetName val="Plant_assumptions3"/>
      <sheetName val="GH_GM2"/>
      <sheetName val="FES_PM2"/>
      <sheetName val="FES_GM2"/>
      <sheetName val="SATZ_GM2"/>
      <sheetName val="LE_(VND)2"/>
      <sheetName val="CLOSED_OUT_LETS__3"/>
      <sheetName val="05 过滤CIP标准"/>
      <sheetName val="sum_x0008_ _x0006_"/>
      <sheetName val="sum "/>
      <sheetName val="CRUDE-D"/>
      <sheetName val="POSTF1"/>
      <sheetName val="S'PORE-D"/>
      <sheetName val="POSTHD1"/>
      <sheetName val="POSTLPG"/>
      <sheetName val="PO97(02)"/>
      <sheetName val="Sensitivities"/>
      <sheetName val="2022 Core MICS"/>
      <sheetName val="Recon"/>
      <sheetName val="GIT recon"/>
      <sheetName val="GCC"/>
      <sheetName val="ZONE"/>
      <sheetName val="RPSS"/>
      <sheetName val="SEM_237"/>
      <sheetName val="Data_Maestra6"/>
      <sheetName val="CRITERIOS_EVALUACIÓN_3"/>
      <sheetName val="Comments_(2)1"/>
      <sheetName val="RF-G7"/>
      <sheetName val="Total_marcas9"/>
      <sheetName val="Fase_19"/>
      <sheetName val="Fase_29"/>
      <sheetName val="Fase_39"/>
      <sheetName val="INDICES"/>
      <sheetName val="Catálogo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 refreshError="1"/>
      <sheetData sheetId="620"/>
      <sheetData sheetId="621"/>
      <sheetData sheetId="622" refreshError="1"/>
      <sheetData sheetId="623" refreshError="1"/>
      <sheetData sheetId="624" refreshError="1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 refreshError="1"/>
      <sheetData sheetId="1899" refreshError="1"/>
      <sheetData sheetId="1900" refreshError="1"/>
      <sheetData sheetId="1901" refreshError="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 refreshError="1"/>
      <sheetData sheetId="1917" refreshError="1"/>
      <sheetData sheetId="1918" refreshError="1"/>
      <sheetData sheetId="1919"/>
      <sheetData sheetId="1920" refreshError="1"/>
      <sheetData sheetId="1921"/>
      <sheetData sheetId="1922"/>
      <sheetData sheetId="1923"/>
      <sheetData sheetId="1924" refreshError="1"/>
      <sheetData sheetId="1925" refreshError="1"/>
      <sheetData sheetId="1926"/>
      <sheetData sheetId="1927"/>
      <sheetData sheetId="1928"/>
      <sheetData sheetId="1929"/>
      <sheetData sheetId="1930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/>
      <sheetData sheetId="1937"/>
      <sheetData sheetId="1938"/>
      <sheetData sheetId="1939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/>
      <sheetData sheetId="1985" refreshError="1"/>
      <sheetData sheetId="1986" refreshError="1"/>
      <sheetData sheetId="1987" refreshError="1"/>
      <sheetData sheetId="1988" refreshError="1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/>
      <sheetData sheetId="2121"/>
      <sheetData sheetId="2122"/>
      <sheetData sheetId="2123"/>
      <sheetData sheetId="2124" refreshError="1"/>
      <sheetData sheetId="2125"/>
      <sheetData sheetId="2126" refreshError="1"/>
      <sheetData sheetId="2127" refreshError="1"/>
      <sheetData sheetId="2128"/>
      <sheetData sheetId="2129" refreshError="1"/>
      <sheetData sheetId="2130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/>
      <sheetData sheetId="2141" refreshError="1"/>
      <sheetData sheetId="2142" refreshError="1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 refreshError="1"/>
      <sheetData sheetId="2425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/>
      <sheetData sheetId="2433"/>
      <sheetData sheetId="2434"/>
      <sheetData sheetId="2435"/>
      <sheetData sheetId="2436"/>
      <sheetData sheetId="2437"/>
      <sheetData sheetId="2438" refreshError="1"/>
      <sheetData sheetId="2439"/>
      <sheetData sheetId="2440"/>
      <sheetData sheetId="2441"/>
      <sheetData sheetId="2442" refreshError="1"/>
      <sheetData sheetId="2443" refreshError="1"/>
      <sheetData sheetId="2444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/>
      <sheetData sheetId="2690" refreshError="1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 refreshError="1"/>
      <sheetData sheetId="3250" refreshError="1"/>
      <sheetData sheetId="3251" refreshError="1"/>
      <sheetData sheetId="3252" refreshError="1"/>
      <sheetData sheetId="3253"/>
      <sheetData sheetId="3254"/>
      <sheetData sheetId="3255" refreshError="1"/>
      <sheetData sheetId="3256" refreshError="1"/>
      <sheetData sheetId="3257" refreshError="1"/>
      <sheetData sheetId="3258" refreshError="1"/>
      <sheetData sheetId="3259"/>
      <sheetData sheetId="3260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/>
      <sheetData sheetId="3312" refreshError="1"/>
      <sheetData sheetId="3313"/>
      <sheetData sheetId="3314"/>
      <sheetData sheetId="3315" refreshError="1"/>
      <sheetData sheetId="3316"/>
      <sheetData sheetId="3317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/>
      <sheetData sheetId="3347"/>
      <sheetData sheetId="3348"/>
      <sheetData sheetId="3349"/>
      <sheetData sheetId="3350" refreshError="1"/>
      <sheetData sheetId="3351" refreshError="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/>
      <sheetData sheetId="3954"/>
      <sheetData sheetId="3955"/>
      <sheetData sheetId="3956"/>
      <sheetData sheetId="3957"/>
      <sheetData sheetId="3958"/>
      <sheetData sheetId="3959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/>
      <sheetData sheetId="3967"/>
      <sheetData sheetId="3968"/>
      <sheetData sheetId="3969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 refreshError="1"/>
      <sheetData sheetId="4281" refreshError="1"/>
      <sheetData sheetId="4282"/>
      <sheetData sheetId="4283"/>
      <sheetData sheetId="4284"/>
      <sheetData sheetId="4285"/>
      <sheetData sheetId="4286" refreshError="1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/>
      <sheetData sheetId="4306" refreshError="1"/>
      <sheetData sheetId="4307"/>
      <sheetData sheetId="4308" refreshError="1"/>
      <sheetData sheetId="4309" refreshError="1"/>
      <sheetData sheetId="4310" refreshError="1"/>
      <sheetData sheetId="4311"/>
      <sheetData sheetId="4312"/>
      <sheetData sheetId="4313"/>
      <sheetData sheetId="4314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/>
      <sheetData sheetId="4327"/>
      <sheetData sheetId="4328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/>
      <sheetData sheetId="4367"/>
      <sheetData sheetId="4368"/>
      <sheetData sheetId="4369"/>
      <sheetData sheetId="4370"/>
      <sheetData sheetId="4371"/>
      <sheetData sheetId="4372" refreshError="1"/>
      <sheetData sheetId="4373" refreshError="1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 refreshError="1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 refreshError="1"/>
      <sheetData sheetId="4729" refreshError="1"/>
      <sheetData sheetId="4730" refreshError="1"/>
      <sheetData sheetId="4731" refreshError="1"/>
      <sheetData sheetId="4732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 refreshError="1"/>
      <sheetData sheetId="5090"/>
      <sheetData sheetId="5091"/>
      <sheetData sheetId="5092"/>
      <sheetData sheetId="5093"/>
      <sheetData sheetId="5094"/>
      <sheetData sheetId="5095" refreshError="1"/>
      <sheetData sheetId="5096" refreshError="1"/>
      <sheetData sheetId="5097" refreshError="1"/>
      <sheetData sheetId="5098" refreshError="1"/>
      <sheetData sheetId="5099" refreshError="1"/>
      <sheetData sheetId="5100" refreshError="1"/>
      <sheetData sheetId="510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/>
      <sheetData sheetId="5116"/>
      <sheetData sheetId="5117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 refreshError="1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/>
      <sheetData sheetId="5408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 refreshError="1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 refreshError="1"/>
      <sheetData sheetId="5448" refreshError="1"/>
      <sheetData sheetId="5449" refreshError="1"/>
      <sheetData sheetId="5450" refreshError="1"/>
      <sheetData sheetId="5451" refreshError="1"/>
      <sheetData sheetId="5452" refreshError="1"/>
      <sheetData sheetId="5453" refreshError="1"/>
      <sheetData sheetId="5454" refreshError="1"/>
      <sheetData sheetId="5455" refreshError="1"/>
      <sheetData sheetId="5456" refreshError="1"/>
      <sheetData sheetId="5457" refreshError="1"/>
      <sheetData sheetId="5458" refreshError="1"/>
      <sheetData sheetId="5459" refreshError="1"/>
      <sheetData sheetId="5460" refreshError="1"/>
      <sheetData sheetId="5461" refreshError="1"/>
      <sheetData sheetId="5462" refreshError="1"/>
      <sheetData sheetId="5463" refreshError="1"/>
      <sheetData sheetId="5464" refreshError="1"/>
      <sheetData sheetId="5465" refreshError="1"/>
      <sheetData sheetId="5466" refreshError="1"/>
      <sheetData sheetId="5467" refreshError="1"/>
      <sheetData sheetId="5468" refreshError="1"/>
      <sheetData sheetId="5469" refreshError="1"/>
      <sheetData sheetId="5470" refreshError="1"/>
      <sheetData sheetId="5471" refreshError="1"/>
      <sheetData sheetId="5472" refreshError="1"/>
      <sheetData sheetId="5473" refreshError="1"/>
      <sheetData sheetId="5474" refreshError="1"/>
      <sheetData sheetId="5475" refreshError="1"/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 refreshError="1"/>
      <sheetData sheetId="5484" refreshError="1"/>
      <sheetData sheetId="5485" refreshError="1"/>
      <sheetData sheetId="5486" refreshError="1"/>
      <sheetData sheetId="5487" refreshError="1"/>
      <sheetData sheetId="5488" refreshError="1"/>
      <sheetData sheetId="5489" refreshError="1"/>
      <sheetData sheetId="5490" refreshError="1"/>
      <sheetData sheetId="5491" refreshError="1"/>
      <sheetData sheetId="5492" refreshError="1"/>
      <sheetData sheetId="5493" refreshError="1"/>
      <sheetData sheetId="5494" refreshError="1"/>
      <sheetData sheetId="5495" refreshError="1"/>
      <sheetData sheetId="5496" refreshError="1"/>
      <sheetData sheetId="5497" refreshError="1"/>
      <sheetData sheetId="5498" refreshError="1"/>
      <sheetData sheetId="5499" refreshError="1"/>
      <sheetData sheetId="5500" refreshError="1"/>
      <sheetData sheetId="5501" refreshError="1"/>
      <sheetData sheetId="5502" refreshError="1"/>
      <sheetData sheetId="5503" refreshError="1"/>
      <sheetData sheetId="5504" refreshError="1"/>
      <sheetData sheetId="5505" refreshError="1"/>
      <sheetData sheetId="5506" refreshError="1"/>
      <sheetData sheetId="5507" refreshError="1"/>
      <sheetData sheetId="5508" refreshError="1"/>
      <sheetData sheetId="5509" refreshError="1"/>
      <sheetData sheetId="5510" refreshError="1"/>
      <sheetData sheetId="5511" refreshError="1"/>
      <sheetData sheetId="5512" refreshError="1"/>
      <sheetData sheetId="5513" refreshError="1"/>
      <sheetData sheetId="5514" refreshError="1"/>
      <sheetData sheetId="5515" refreshError="1"/>
      <sheetData sheetId="5516" refreshError="1"/>
      <sheetData sheetId="5517" refreshError="1"/>
      <sheetData sheetId="5518" refreshError="1"/>
      <sheetData sheetId="5519" refreshError="1"/>
      <sheetData sheetId="5520" refreshError="1"/>
      <sheetData sheetId="5521" refreshError="1"/>
      <sheetData sheetId="5522" refreshError="1"/>
      <sheetData sheetId="5523" refreshError="1"/>
      <sheetData sheetId="5524" refreshError="1"/>
      <sheetData sheetId="5525" refreshError="1"/>
      <sheetData sheetId="5526" refreshError="1"/>
      <sheetData sheetId="5527" refreshError="1"/>
      <sheetData sheetId="5528" refreshError="1"/>
      <sheetData sheetId="5529" refreshError="1"/>
      <sheetData sheetId="5530" refreshError="1"/>
      <sheetData sheetId="5531" refreshError="1"/>
      <sheetData sheetId="5532" refreshError="1"/>
      <sheetData sheetId="5533" refreshError="1"/>
      <sheetData sheetId="5534" refreshError="1"/>
      <sheetData sheetId="5535" refreshError="1"/>
      <sheetData sheetId="5536" refreshError="1"/>
      <sheetData sheetId="5537"/>
      <sheetData sheetId="5538" refreshError="1"/>
      <sheetData sheetId="5539" refreshError="1"/>
      <sheetData sheetId="5540" refreshError="1"/>
      <sheetData sheetId="5541" refreshError="1"/>
      <sheetData sheetId="5542" refreshError="1"/>
      <sheetData sheetId="5543" refreshError="1"/>
      <sheetData sheetId="5544" refreshError="1"/>
      <sheetData sheetId="5545" refreshError="1"/>
      <sheetData sheetId="5546" refreshError="1"/>
      <sheetData sheetId="5547" refreshError="1"/>
      <sheetData sheetId="5548" refreshError="1"/>
      <sheetData sheetId="5549" refreshError="1"/>
      <sheetData sheetId="5550" refreshError="1"/>
      <sheetData sheetId="5551" refreshError="1"/>
      <sheetData sheetId="5552" refreshError="1"/>
      <sheetData sheetId="5553" refreshError="1"/>
      <sheetData sheetId="5554" refreshError="1"/>
      <sheetData sheetId="5555" refreshError="1"/>
      <sheetData sheetId="5556" refreshError="1"/>
      <sheetData sheetId="5557" refreshError="1"/>
      <sheetData sheetId="5558" refreshError="1"/>
      <sheetData sheetId="5559" refreshError="1"/>
      <sheetData sheetId="5560" refreshError="1"/>
      <sheetData sheetId="5561" refreshError="1"/>
      <sheetData sheetId="5562" refreshError="1"/>
      <sheetData sheetId="5563" refreshError="1"/>
      <sheetData sheetId="5564" refreshError="1"/>
      <sheetData sheetId="5565" refreshError="1"/>
      <sheetData sheetId="5566" refreshError="1"/>
      <sheetData sheetId="5567" refreshError="1"/>
      <sheetData sheetId="5568" refreshError="1"/>
      <sheetData sheetId="5569" refreshError="1"/>
      <sheetData sheetId="5570" refreshError="1"/>
      <sheetData sheetId="5571" refreshError="1"/>
      <sheetData sheetId="5572" refreshError="1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 refreshError="1"/>
      <sheetData sheetId="5582" refreshError="1"/>
      <sheetData sheetId="5583" refreshError="1"/>
      <sheetData sheetId="5584" refreshError="1"/>
      <sheetData sheetId="5585" refreshError="1"/>
      <sheetData sheetId="5586" refreshError="1"/>
      <sheetData sheetId="5587" refreshError="1"/>
      <sheetData sheetId="5588" refreshError="1"/>
      <sheetData sheetId="5589" refreshError="1"/>
      <sheetData sheetId="5590" refreshError="1"/>
      <sheetData sheetId="5591" refreshError="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 refreshError="1"/>
      <sheetData sheetId="5600" refreshError="1"/>
      <sheetData sheetId="5601" refreshError="1"/>
      <sheetData sheetId="5602" refreshError="1"/>
      <sheetData sheetId="5603" refreshError="1"/>
      <sheetData sheetId="5604" refreshError="1"/>
      <sheetData sheetId="5605" refreshError="1"/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/>
      <sheetData sheetId="5679"/>
      <sheetData sheetId="5680"/>
      <sheetData sheetId="5681"/>
      <sheetData sheetId="5682"/>
      <sheetData sheetId="5683"/>
      <sheetData sheetId="5684"/>
      <sheetData sheetId="5685"/>
      <sheetData sheetId="5686"/>
      <sheetData sheetId="5687"/>
      <sheetData sheetId="5688"/>
      <sheetData sheetId="5689"/>
      <sheetData sheetId="5690"/>
      <sheetData sheetId="5691"/>
      <sheetData sheetId="5692"/>
      <sheetData sheetId="5693"/>
      <sheetData sheetId="5694"/>
      <sheetData sheetId="5695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/>
      <sheetData sheetId="5719"/>
      <sheetData sheetId="5720"/>
      <sheetData sheetId="5721"/>
      <sheetData sheetId="5722"/>
      <sheetData sheetId="5723"/>
      <sheetData sheetId="5724"/>
      <sheetData sheetId="5725"/>
      <sheetData sheetId="5726"/>
      <sheetData sheetId="5727"/>
      <sheetData sheetId="5728"/>
      <sheetData sheetId="5729"/>
      <sheetData sheetId="5730"/>
      <sheetData sheetId="5731"/>
      <sheetData sheetId="5732"/>
      <sheetData sheetId="5733"/>
      <sheetData sheetId="5734"/>
      <sheetData sheetId="5735"/>
      <sheetData sheetId="5736"/>
      <sheetData sheetId="5737"/>
      <sheetData sheetId="5738"/>
      <sheetData sheetId="5739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 refreshError="1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 refreshError="1"/>
      <sheetData sheetId="5786" refreshError="1"/>
      <sheetData sheetId="5787" refreshError="1"/>
      <sheetData sheetId="5788" refreshError="1"/>
      <sheetData sheetId="5789" refreshError="1"/>
      <sheetData sheetId="5790" refreshError="1"/>
      <sheetData sheetId="5791" refreshError="1"/>
      <sheetData sheetId="5792" refreshError="1"/>
      <sheetData sheetId="5793" refreshError="1"/>
      <sheetData sheetId="5794" refreshError="1"/>
      <sheetData sheetId="5795" refreshError="1"/>
      <sheetData sheetId="5796" refreshError="1"/>
      <sheetData sheetId="5797" refreshError="1"/>
      <sheetData sheetId="5798" refreshError="1"/>
      <sheetData sheetId="5799" refreshError="1"/>
      <sheetData sheetId="5800" refreshError="1"/>
      <sheetData sheetId="5801" refreshError="1"/>
      <sheetData sheetId="5802" refreshError="1"/>
      <sheetData sheetId="5803" refreshError="1"/>
      <sheetData sheetId="5804" refreshError="1"/>
      <sheetData sheetId="5805" refreshError="1"/>
      <sheetData sheetId="5806" refreshError="1"/>
      <sheetData sheetId="5807" refreshError="1"/>
      <sheetData sheetId="5808" refreshError="1"/>
      <sheetData sheetId="5809" refreshError="1"/>
      <sheetData sheetId="5810" refreshError="1"/>
      <sheetData sheetId="5811" refreshError="1"/>
      <sheetData sheetId="5812" refreshError="1"/>
      <sheetData sheetId="5813" refreshError="1"/>
      <sheetData sheetId="5814" refreshError="1"/>
      <sheetData sheetId="5815" refreshError="1"/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/>
      <sheetData sheetId="5829"/>
      <sheetData sheetId="5830"/>
      <sheetData sheetId="5831"/>
      <sheetData sheetId="5832"/>
      <sheetData sheetId="5833"/>
      <sheetData sheetId="5834"/>
      <sheetData sheetId="5835"/>
      <sheetData sheetId="5836"/>
      <sheetData sheetId="5837" refreshError="1"/>
      <sheetData sheetId="5838"/>
      <sheetData sheetId="5839"/>
      <sheetData sheetId="5840"/>
      <sheetData sheetId="5841"/>
      <sheetData sheetId="5842"/>
      <sheetData sheetId="5843"/>
      <sheetData sheetId="5844"/>
      <sheetData sheetId="5845"/>
      <sheetData sheetId="5846"/>
      <sheetData sheetId="5847"/>
      <sheetData sheetId="5848"/>
      <sheetData sheetId="5849"/>
      <sheetData sheetId="5850"/>
      <sheetData sheetId="5851"/>
      <sheetData sheetId="5852"/>
      <sheetData sheetId="5853"/>
      <sheetData sheetId="5854"/>
      <sheetData sheetId="5855"/>
      <sheetData sheetId="5856"/>
      <sheetData sheetId="5857"/>
      <sheetData sheetId="5858"/>
      <sheetData sheetId="5859"/>
      <sheetData sheetId="5860"/>
      <sheetData sheetId="5861"/>
      <sheetData sheetId="5862"/>
      <sheetData sheetId="5863"/>
      <sheetData sheetId="5864"/>
      <sheetData sheetId="5865"/>
      <sheetData sheetId="5866"/>
      <sheetData sheetId="5867"/>
      <sheetData sheetId="5868"/>
      <sheetData sheetId="5869"/>
      <sheetData sheetId="5870"/>
      <sheetData sheetId="5871"/>
      <sheetData sheetId="5872"/>
      <sheetData sheetId="5873"/>
      <sheetData sheetId="5874"/>
      <sheetData sheetId="5875"/>
      <sheetData sheetId="5876"/>
      <sheetData sheetId="5877"/>
      <sheetData sheetId="5878"/>
      <sheetData sheetId="5879"/>
      <sheetData sheetId="5880"/>
      <sheetData sheetId="5881"/>
      <sheetData sheetId="5882"/>
      <sheetData sheetId="5883"/>
      <sheetData sheetId="5884"/>
      <sheetData sheetId="5885"/>
      <sheetData sheetId="5886"/>
      <sheetData sheetId="5887"/>
      <sheetData sheetId="5888"/>
      <sheetData sheetId="5889"/>
      <sheetData sheetId="5890"/>
      <sheetData sheetId="5891"/>
      <sheetData sheetId="5892"/>
      <sheetData sheetId="5893"/>
      <sheetData sheetId="5894"/>
      <sheetData sheetId="5895"/>
      <sheetData sheetId="5896"/>
      <sheetData sheetId="5897"/>
      <sheetData sheetId="5898"/>
      <sheetData sheetId="5899"/>
      <sheetData sheetId="5900"/>
      <sheetData sheetId="5901"/>
      <sheetData sheetId="5902"/>
      <sheetData sheetId="5903"/>
      <sheetData sheetId="5904"/>
      <sheetData sheetId="5905"/>
      <sheetData sheetId="5906"/>
      <sheetData sheetId="5907"/>
      <sheetData sheetId="5908"/>
      <sheetData sheetId="5909"/>
      <sheetData sheetId="5910"/>
      <sheetData sheetId="5911"/>
      <sheetData sheetId="5912"/>
      <sheetData sheetId="5913"/>
      <sheetData sheetId="5914"/>
      <sheetData sheetId="5915"/>
      <sheetData sheetId="5916"/>
      <sheetData sheetId="5917"/>
      <sheetData sheetId="5918"/>
      <sheetData sheetId="5919"/>
      <sheetData sheetId="5920"/>
      <sheetData sheetId="5921"/>
      <sheetData sheetId="5922"/>
      <sheetData sheetId="5923"/>
      <sheetData sheetId="5924"/>
      <sheetData sheetId="5925"/>
      <sheetData sheetId="5926"/>
      <sheetData sheetId="5927"/>
      <sheetData sheetId="5928"/>
      <sheetData sheetId="5929"/>
      <sheetData sheetId="5930"/>
      <sheetData sheetId="5931"/>
      <sheetData sheetId="5932"/>
      <sheetData sheetId="5933"/>
      <sheetData sheetId="5934"/>
      <sheetData sheetId="5935"/>
      <sheetData sheetId="5936"/>
      <sheetData sheetId="5937"/>
      <sheetData sheetId="5938"/>
      <sheetData sheetId="5939"/>
      <sheetData sheetId="5940"/>
      <sheetData sheetId="5941"/>
      <sheetData sheetId="5942"/>
      <sheetData sheetId="5943"/>
      <sheetData sheetId="5944"/>
      <sheetData sheetId="5945"/>
      <sheetData sheetId="5946"/>
      <sheetData sheetId="5947"/>
      <sheetData sheetId="5948"/>
      <sheetData sheetId="5949"/>
      <sheetData sheetId="5950"/>
      <sheetData sheetId="5951"/>
      <sheetData sheetId="5952"/>
      <sheetData sheetId="5953"/>
      <sheetData sheetId="5954"/>
      <sheetData sheetId="5955"/>
      <sheetData sheetId="5956"/>
      <sheetData sheetId="5957"/>
      <sheetData sheetId="5958"/>
      <sheetData sheetId="5959"/>
      <sheetData sheetId="5960"/>
      <sheetData sheetId="5961"/>
      <sheetData sheetId="5962"/>
      <sheetData sheetId="5963"/>
      <sheetData sheetId="5964"/>
      <sheetData sheetId="5965"/>
      <sheetData sheetId="5966"/>
      <sheetData sheetId="5967"/>
      <sheetData sheetId="5968"/>
      <sheetData sheetId="5969"/>
      <sheetData sheetId="5970"/>
      <sheetData sheetId="5971"/>
      <sheetData sheetId="5972"/>
      <sheetData sheetId="5973"/>
      <sheetData sheetId="5974"/>
      <sheetData sheetId="5975"/>
      <sheetData sheetId="5976"/>
      <sheetData sheetId="5977"/>
      <sheetData sheetId="5978"/>
      <sheetData sheetId="5979"/>
      <sheetData sheetId="5980"/>
      <sheetData sheetId="5981"/>
      <sheetData sheetId="5982"/>
      <sheetData sheetId="5983"/>
      <sheetData sheetId="5984"/>
      <sheetData sheetId="5985"/>
      <sheetData sheetId="5986"/>
      <sheetData sheetId="5987"/>
      <sheetData sheetId="5988"/>
      <sheetData sheetId="5989"/>
      <sheetData sheetId="5990"/>
      <sheetData sheetId="5991"/>
      <sheetData sheetId="5992"/>
      <sheetData sheetId="5993"/>
      <sheetData sheetId="5994"/>
      <sheetData sheetId="5995"/>
      <sheetData sheetId="5996"/>
      <sheetData sheetId="5997"/>
      <sheetData sheetId="5998"/>
      <sheetData sheetId="5999"/>
      <sheetData sheetId="6000"/>
      <sheetData sheetId="6001"/>
      <sheetData sheetId="6002"/>
      <sheetData sheetId="6003"/>
      <sheetData sheetId="6004"/>
      <sheetData sheetId="6005"/>
      <sheetData sheetId="6006"/>
      <sheetData sheetId="6007"/>
      <sheetData sheetId="6008"/>
      <sheetData sheetId="6009"/>
      <sheetData sheetId="6010"/>
      <sheetData sheetId="6011"/>
      <sheetData sheetId="6012"/>
      <sheetData sheetId="6013"/>
      <sheetData sheetId="6014"/>
      <sheetData sheetId="6015"/>
      <sheetData sheetId="6016"/>
      <sheetData sheetId="6017"/>
      <sheetData sheetId="6018"/>
      <sheetData sheetId="6019"/>
      <sheetData sheetId="6020"/>
      <sheetData sheetId="6021"/>
      <sheetData sheetId="6022"/>
      <sheetData sheetId="6023"/>
      <sheetData sheetId="6024"/>
      <sheetData sheetId="6025"/>
      <sheetData sheetId="6026"/>
      <sheetData sheetId="6027"/>
      <sheetData sheetId="6028"/>
      <sheetData sheetId="6029"/>
      <sheetData sheetId="6030"/>
      <sheetData sheetId="6031"/>
      <sheetData sheetId="6032"/>
      <sheetData sheetId="6033"/>
      <sheetData sheetId="6034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 refreshError="1"/>
      <sheetData sheetId="6067" refreshError="1"/>
      <sheetData sheetId="6068" refreshError="1"/>
      <sheetData sheetId="6069" refreshError="1"/>
      <sheetData sheetId="6070" refreshError="1"/>
      <sheetData sheetId="6071" refreshError="1"/>
      <sheetData sheetId="6072" refreshError="1"/>
      <sheetData sheetId="6073" refreshError="1"/>
      <sheetData sheetId="6074" refreshError="1"/>
      <sheetData sheetId="6075" refreshError="1"/>
      <sheetData sheetId="6076" refreshError="1"/>
      <sheetData sheetId="6077" refreshError="1"/>
      <sheetData sheetId="6078" refreshError="1"/>
      <sheetData sheetId="6079" refreshError="1"/>
      <sheetData sheetId="6080" refreshError="1"/>
      <sheetData sheetId="6081" refreshError="1"/>
      <sheetData sheetId="6082" refreshError="1"/>
      <sheetData sheetId="6083" refreshError="1"/>
      <sheetData sheetId="6084" refreshError="1"/>
      <sheetData sheetId="6085" refreshError="1"/>
      <sheetData sheetId="6086" refreshError="1"/>
      <sheetData sheetId="6087" refreshError="1"/>
      <sheetData sheetId="6088" refreshError="1"/>
      <sheetData sheetId="6089" refreshError="1"/>
      <sheetData sheetId="6090" refreshError="1"/>
      <sheetData sheetId="6091" refreshError="1"/>
      <sheetData sheetId="6092" refreshError="1"/>
      <sheetData sheetId="6093" refreshError="1"/>
      <sheetData sheetId="6094" refreshError="1"/>
      <sheetData sheetId="6095" refreshError="1"/>
      <sheetData sheetId="6096" refreshError="1"/>
      <sheetData sheetId="6097" refreshError="1"/>
      <sheetData sheetId="6098" refreshError="1"/>
      <sheetData sheetId="6099" refreshError="1"/>
      <sheetData sheetId="6100" refreshError="1"/>
      <sheetData sheetId="6101" refreshError="1"/>
      <sheetData sheetId="6102" refreshError="1"/>
      <sheetData sheetId="6103" refreshError="1"/>
      <sheetData sheetId="6104" refreshError="1"/>
      <sheetData sheetId="6105" refreshError="1"/>
      <sheetData sheetId="6106" refreshError="1"/>
      <sheetData sheetId="6107" refreshError="1"/>
      <sheetData sheetId="6108" refreshError="1"/>
      <sheetData sheetId="6109" refreshError="1"/>
      <sheetData sheetId="6110" refreshError="1"/>
      <sheetData sheetId="6111" refreshError="1"/>
      <sheetData sheetId="6112" refreshError="1"/>
      <sheetData sheetId="6113" refreshError="1"/>
      <sheetData sheetId="6114" refreshError="1"/>
      <sheetData sheetId="6115" refreshError="1"/>
      <sheetData sheetId="6116" refreshError="1"/>
      <sheetData sheetId="6117" refreshError="1"/>
      <sheetData sheetId="6118" refreshError="1"/>
      <sheetData sheetId="6119" refreshError="1"/>
      <sheetData sheetId="6120" refreshError="1"/>
      <sheetData sheetId="6121" refreshError="1"/>
      <sheetData sheetId="6122" refreshError="1"/>
      <sheetData sheetId="6123" refreshError="1"/>
      <sheetData sheetId="6124" refreshError="1"/>
      <sheetData sheetId="6125" refreshError="1"/>
      <sheetData sheetId="6126" refreshError="1"/>
      <sheetData sheetId="6127" refreshError="1"/>
      <sheetData sheetId="6128" refreshError="1"/>
      <sheetData sheetId="6129" refreshError="1"/>
      <sheetData sheetId="6130" refreshError="1"/>
      <sheetData sheetId="6131" refreshError="1"/>
      <sheetData sheetId="6132" refreshError="1"/>
      <sheetData sheetId="6133" refreshError="1"/>
      <sheetData sheetId="6134" refreshError="1"/>
      <sheetData sheetId="6135" refreshError="1"/>
      <sheetData sheetId="6136" refreshError="1"/>
      <sheetData sheetId="6137" refreshError="1"/>
      <sheetData sheetId="6138" refreshError="1"/>
      <sheetData sheetId="6139" refreshError="1"/>
      <sheetData sheetId="6140" refreshError="1"/>
      <sheetData sheetId="6141" refreshError="1"/>
      <sheetData sheetId="6142" refreshError="1"/>
      <sheetData sheetId="6143" refreshError="1"/>
      <sheetData sheetId="6144" refreshError="1"/>
      <sheetData sheetId="6145" refreshError="1"/>
      <sheetData sheetId="6146" refreshError="1"/>
      <sheetData sheetId="6147" refreshError="1"/>
      <sheetData sheetId="6148" refreshError="1"/>
      <sheetData sheetId="6149" refreshError="1"/>
      <sheetData sheetId="6150" refreshError="1"/>
      <sheetData sheetId="6151" refreshError="1"/>
      <sheetData sheetId="6152" refreshError="1"/>
      <sheetData sheetId="6153" refreshError="1"/>
      <sheetData sheetId="6154" refreshError="1"/>
      <sheetData sheetId="6155" refreshError="1"/>
      <sheetData sheetId="6156" refreshError="1"/>
      <sheetData sheetId="6157" refreshError="1"/>
      <sheetData sheetId="6158" refreshError="1"/>
      <sheetData sheetId="6159" refreshError="1"/>
      <sheetData sheetId="6160" refreshError="1"/>
      <sheetData sheetId="6161" refreshError="1"/>
      <sheetData sheetId="6162" refreshError="1"/>
      <sheetData sheetId="6163" refreshError="1"/>
      <sheetData sheetId="6164" refreshError="1"/>
      <sheetData sheetId="6165" refreshError="1"/>
      <sheetData sheetId="6166" refreshError="1"/>
      <sheetData sheetId="6167" refreshError="1"/>
      <sheetData sheetId="6168" refreshError="1"/>
      <sheetData sheetId="6169" refreshError="1"/>
      <sheetData sheetId="6170" refreshError="1"/>
      <sheetData sheetId="6171" refreshError="1"/>
      <sheetData sheetId="6172" refreshError="1"/>
      <sheetData sheetId="6173" refreshError="1"/>
      <sheetData sheetId="6174" refreshError="1"/>
      <sheetData sheetId="6175" refreshError="1"/>
      <sheetData sheetId="6176" refreshError="1"/>
      <sheetData sheetId="6177" refreshError="1"/>
      <sheetData sheetId="6178" refreshError="1"/>
      <sheetData sheetId="6179" refreshError="1"/>
      <sheetData sheetId="6180" refreshError="1"/>
      <sheetData sheetId="6181" refreshError="1"/>
      <sheetData sheetId="6182" refreshError="1"/>
      <sheetData sheetId="6183" refreshError="1"/>
      <sheetData sheetId="6184" refreshError="1"/>
      <sheetData sheetId="6185" refreshError="1"/>
      <sheetData sheetId="6186" refreshError="1"/>
      <sheetData sheetId="6187" refreshError="1"/>
      <sheetData sheetId="6188" refreshError="1"/>
      <sheetData sheetId="6189" refreshError="1"/>
      <sheetData sheetId="6190" refreshError="1"/>
      <sheetData sheetId="6191" refreshError="1"/>
      <sheetData sheetId="6192" refreshError="1"/>
      <sheetData sheetId="6193" refreshError="1"/>
      <sheetData sheetId="6194" refreshError="1"/>
      <sheetData sheetId="6195" refreshError="1"/>
      <sheetData sheetId="6196" refreshError="1"/>
      <sheetData sheetId="6197" refreshError="1"/>
      <sheetData sheetId="6198" refreshError="1"/>
      <sheetData sheetId="6199" refreshError="1"/>
      <sheetData sheetId="6200" refreshError="1"/>
      <sheetData sheetId="6201" refreshError="1"/>
      <sheetData sheetId="6202" refreshError="1"/>
      <sheetData sheetId="6203" refreshError="1"/>
      <sheetData sheetId="6204" refreshError="1"/>
      <sheetData sheetId="6205" refreshError="1"/>
      <sheetData sheetId="6206" refreshError="1"/>
      <sheetData sheetId="6207" refreshError="1"/>
      <sheetData sheetId="6208" refreshError="1"/>
      <sheetData sheetId="6209" refreshError="1"/>
      <sheetData sheetId="6210" refreshError="1"/>
      <sheetData sheetId="6211" refreshError="1"/>
      <sheetData sheetId="6212" refreshError="1"/>
      <sheetData sheetId="6213" refreshError="1"/>
      <sheetData sheetId="6214" refreshError="1"/>
      <sheetData sheetId="6215" refreshError="1"/>
      <sheetData sheetId="6216" refreshError="1"/>
      <sheetData sheetId="6217" refreshError="1"/>
      <sheetData sheetId="6218" refreshError="1"/>
      <sheetData sheetId="6219" refreshError="1"/>
      <sheetData sheetId="6220" refreshError="1"/>
      <sheetData sheetId="6221" refreshError="1"/>
      <sheetData sheetId="6222" refreshError="1"/>
      <sheetData sheetId="6223" refreshError="1"/>
      <sheetData sheetId="6224" refreshError="1"/>
      <sheetData sheetId="6225" refreshError="1"/>
      <sheetData sheetId="6226" refreshError="1"/>
      <sheetData sheetId="6227" refreshError="1"/>
      <sheetData sheetId="6228" refreshError="1"/>
      <sheetData sheetId="6229" refreshError="1"/>
      <sheetData sheetId="6230" refreshError="1"/>
      <sheetData sheetId="6231" refreshError="1"/>
      <sheetData sheetId="6232" refreshError="1"/>
      <sheetData sheetId="6233" refreshError="1"/>
      <sheetData sheetId="6234" refreshError="1"/>
      <sheetData sheetId="6235" refreshError="1"/>
      <sheetData sheetId="6236" refreshError="1"/>
      <sheetData sheetId="6237" refreshError="1"/>
      <sheetData sheetId="6238" refreshError="1"/>
      <sheetData sheetId="6239" refreshError="1"/>
      <sheetData sheetId="6240" refreshError="1"/>
      <sheetData sheetId="6241" refreshError="1"/>
      <sheetData sheetId="6242" refreshError="1"/>
      <sheetData sheetId="6243" refreshError="1"/>
      <sheetData sheetId="6244" refreshError="1"/>
      <sheetData sheetId="6245"/>
      <sheetData sheetId="6246" refreshError="1"/>
      <sheetData sheetId="6247" refreshError="1"/>
      <sheetData sheetId="6248" refreshError="1"/>
      <sheetData sheetId="6249" refreshError="1"/>
      <sheetData sheetId="6250" refreshError="1"/>
      <sheetData sheetId="6251"/>
      <sheetData sheetId="6252"/>
      <sheetData sheetId="6253"/>
      <sheetData sheetId="6254"/>
      <sheetData sheetId="6255"/>
      <sheetData sheetId="6256"/>
      <sheetData sheetId="6257"/>
      <sheetData sheetId="6258"/>
      <sheetData sheetId="6259"/>
      <sheetData sheetId="6260"/>
      <sheetData sheetId="6261"/>
      <sheetData sheetId="6262"/>
      <sheetData sheetId="6263"/>
      <sheetData sheetId="6264"/>
      <sheetData sheetId="6265"/>
      <sheetData sheetId="6266"/>
      <sheetData sheetId="6267"/>
      <sheetData sheetId="6268"/>
      <sheetData sheetId="6269"/>
      <sheetData sheetId="6270"/>
      <sheetData sheetId="6271"/>
      <sheetData sheetId="6272"/>
      <sheetData sheetId="6273"/>
      <sheetData sheetId="6274"/>
      <sheetData sheetId="6275"/>
      <sheetData sheetId="6276"/>
      <sheetData sheetId="6277"/>
      <sheetData sheetId="6278"/>
      <sheetData sheetId="6279"/>
      <sheetData sheetId="6280"/>
      <sheetData sheetId="6281"/>
      <sheetData sheetId="6282"/>
      <sheetData sheetId="6283"/>
      <sheetData sheetId="6284"/>
      <sheetData sheetId="6285"/>
      <sheetData sheetId="6286"/>
      <sheetData sheetId="6287"/>
      <sheetData sheetId="6288"/>
      <sheetData sheetId="6289"/>
      <sheetData sheetId="6290"/>
      <sheetData sheetId="6291"/>
      <sheetData sheetId="6292"/>
      <sheetData sheetId="6293"/>
      <sheetData sheetId="6294"/>
      <sheetData sheetId="6295"/>
      <sheetData sheetId="6296"/>
      <sheetData sheetId="6297"/>
      <sheetData sheetId="6298"/>
      <sheetData sheetId="6299"/>
      <sheetData sheetId="6300"/>
      <sheetData sheetId="6301"/>
      <sheetData sheetId="6302"/>
      <sheetData sheetId="6303"/>
      <sheetData sheetId="6304"/>
      <sheetData sheetId="6305"/>
      <sheetData sheetId="6306"/>
      <sheetData sheetId="6307"/>
      <sheetData sheetId="6308"/>
      <sheetData sheetId="6309"/>
      <sheetData sheetId="6310"/>
      <sheetData sheetId="6311"/>
      <sheetData sheetId="6312"/>
      <sheetData sheetId="6313"/>
      <sheetData sheetId="6314"/>
      <sheetData sheetId="6315"/>
      <sheetData sheetId="6316"/>
      <sheetData sheetId="6317"/>
      <sheetData sheetId="6318"/>
      <sheetData sheetId="6319"/>
      <sheetData sheetId="6320"/>
      <sheetData sheetId="6321"/>
      <sheetData sheetId="6322"/>
      <sheetData sheetId="6323"/>
      <sheetData sheetId="6324"/>
      <sheetData sheetId="6325"/>
      <sheetData sheetId="6326"/>
      <sheetData sheetId="6327"/>
      <sheetData sheetId="6328"/>
      <sheetData sheetId="6329"/>
      <sheetData sheetId="6330"/>
      <sheetData sheetId="6331"/>
      <sheetData sheetId="6332"/>
      <sheetData sheetId="6333"/>
      <sheetData sheetId="6334"/>
      <sheetData sheetId="6335"/>
      <sheetData sheetId="6336"/>
      <sheetData sheetId="6337"/>
      <sheetData sheetId="6338"/>
      <sheetData sheetId="6339"/>
      <sheetData sheetId="6340"/>
      <sheetData sheetId="6341"/>
      <sheetData sheetId="6342"/>
      <sheetData sheetId="6343"/>
      <sheetData sheetId="6344"/>
      <sheetData sheetId="6345"/>
      <sheetData sheetId="6346"/>
      <sheetData sheetId="6347"/>
      <sheetData sheetId="6348"/>
      <sheetData sheetId="6349"/>
      <sheetData sheetId="6350"/>
      <sheetData sheetId="6351"/>
      <sheetData sheetId="6352"/>
      <sheetData sheetId="6353"/>
      <sheetData sheetId="6354"/>
      <sheetData sheetId="6355"/>
      <sheetData sheetId="6356"/>
      <sheetData sheetId="6357"/>
      <sheetData sheetId="6358"/>
      <sheetData sheetId="6359"/>
      <sheetData sheetId="6360"/>
      <sheetData sheetId="6361"/>
      <sheetData sheetId="6362"/>
      <sheetData sheetId="6363"/>
      <sheetData sheetId="6364"/>
      <sheetData sheetId="6365"/>
      <sheetData sheetId="6366"/>
      <sheetData sheetId="6367"/>
      <sheetData sheetId="6368"/>
      <sheetData sheetId="6369"/>
      <sheetData sheetId="6370"/>
      <sheetData sheetId="6371"/>
      <sheetData sheetId="6372"/>
      <sheetData sheetId="6373"/>
      <sheetData sheetId="6374"/>
      <sheetData sheetId="6375"/>
      <sheetData sheetId="6376"/>
      <sheetData sheetId="6377"/>
      <sheetData sheetId="6378"/>
      <sheetData sheetId="6379"/>
      <sheetData sheetId="6380"/>
      <sheetData sheetId="6381"/>
      <sheetData sheetId="6382"/>
      <sheetData sheetId="6383"/>
      <sheetData sheetId="6384"/>
      <sheetData sheetId="6385"/>
      <sheetData sheetId="6386"/>
      <sheetData sheetId="6387"/>
      <sheetData sheetId="6388"/>
      <sheetData sheetId="6389"/>
      <sheetData sheetId="6390"/>
      <sheetData sheetId="6391"/>
      <sheetData sheetId="6392"/>
      <sheetData sheetId="6393"/>
      <sheetData sheetId="6394"/>
      <sheetData sheetId="6395"/>
      <sheetData sheetId="6396"/>
      <sheetData sheetId="6397"/>
      <sheetData sheetId="6398"/>
      <sheetData sheetId="6399"/>
      <sheetData sheetId="6400"/>
      <sheetData sheetId="6401"/>
      <sheetData sheetId="6402"/>
      <sheetData sheetId="6403"/>
      <sheetData sheetId="6404"/>
      <sheetData sheetId="6405"/>
      <sheetData sheetId="6406"/>
      <sheetData sheetId="6407"/>
      <sheetData sheetId="6408"/>
      <sheetData sheetId="6409"/>
      <sheetData sheetId="6410"/>
      <sheetData sheetId="6411"/>
      <sheetData sheetId="6412"/>
      <sheetData sheetId="6413"/>
      <sheetData sheetId="6414"/>
      <sheetData sheetId="6415"/>
      <sheetData sheetId="6416"/>
      <sheetData sheetId="6417"/>
      <sheetData sheetId="6418"/>
      <sheetData sheetId="6419"/>
      <sheetData sheetId="6420"/>
      <sheetData sheetId="6421"/>
      <sheetData sheetId="6422"/>
      <sheetData sheetId="6423"/>
      <sheetData sheetId="6424"/>
      <sheetData sheetId="6425"/>
      <sheetData sheetId="6426"/>
      <sheetData sheetId="6427"/>
      <sheetData sheetId="6428"/>
      <sheetData sheetId="6429"/>
      <sheetData sheetId="6430"/>
      <sheetData sheetId="6431"/>
      <sheetData sheetId="6432"/>
      <sheetData sheetId="6433"/>
      <sheetData sheetId="6434"/>
      <sheetData sheetId="6435"/>
      <sheetData sheetId="6436"/>
      <sheetData sheetId="6437"/>
      <sheetData sheetId="6438"/>
      <sheetData sheetId="6439"/>
      <sheetData sheetId="6440"/>
      <sheetData sheetId="6441"/>
      <sheetData sheetId="6442"/>
      <sheetData sheetId="6443"/>
      <sheetData sheetId="6444"/>
      <sheetData sheetId="6445"/>
      <sheetData sheetId="6446"/>
      <sheetData sheetId="6447"/>
      <sheetData sheetId="6448"/>
      <sheetData sheetId="6449"/>
      <sheetData sheetId="6450"/>
      <sheetData sheetId="6451"/>
      <sheetData sheetId="6452"/>
      <sheetData sheetId="6453"/>
      <sheetData sheetId="6454"/>
      <sheetData sheetId="6455"/>
      <sheetData sheetId="6456"/>
      <sheetData sheetId="6457"/>
      <sheetData sheetId="6458"/>
      <sheetData sheetId="6459"/>
      <sheetData sheetId="6460"/>
      <sheetData sheetId="6461"/>
      <sheetData sheetId="6462"/>
      <sheetData sheetId="6463"/>
      <sheetData sheetId="6464"/>
      <sheetData sheetId="6465"/>
      <sheetData sheetId="6466"/>
      <sheetData sheetId="6467"/>
      <sheetData sheetId="6468"/>
      <sheetData sheetId="6469"/>
      <sheetData sheetId="6470"/>
      <sheetData sheetId="6471"/>
      <sheetData sheetId="6472"/>
      <sheetData sheetId="6473"/>
      <sheetData sheetId="6474"/>
      <sheetData sheetId="6475"/>
      <sheetData sheetId="6476"/>
      <sheetData sheetId="6477"/>
      <sheetData sheetId="6478"/>
      <sheetData sheetId="6479"/>
      <sheetData sheetId="6480"/>
      <sheetData sheetId="6481"/>
      <sheetData sheetId="6482"/>
      <sheetData sheetId="6483"/>
      <sheetData sheetId="6484"/>
      <sheetData sheetId="6485"/>
      <sheetData sheetId="6486"/>
      <sheetData sheetId="6487"/>
      <sheetData sheetId="6488"/>
      <sheetData sheetId="6489"/>
      <sheetData sheetId="6490"/>
      <sheetData sheetId="6491"/>
      <sheetData sheetId="6492"/>
      <sheetData sheetId="6493"/>
      <sheetData sheetId="6494"/>
      <sheetData sheetId="6495"/>
      <sheetData sheetId="6496"/>
      <sheetData sheetId="6497"/>
      <sheetData sheetId="6498"/>
      <sheetData sheetId="6499"/>
      <sheetData sheetId="6500"/>
      <sheetData sheetId="6501"/>
      <sheetData sheetId="6502"/>
      <sheetData sheetId="6503"/>
      <sheetData sheetId="6504"/>
      <sheetData sheetId="6505"/>
      <sheetData sheetId="6506"/>
      <sheetData sheetId="6507"/>
      <sheetData sheetId="6508"/>
      <sheetData sheetId="6509"/>
      <sheetData sheetId="6510"/>
      <sheetData sheetId="6511"/>
      <sheetData sheetId="6512"/>
      <sheetData sheetId="6513"/>
      <sheetData sheetId="6514"/>
      <sheetData sheetId="6515"/>
      <sheetData sheetId="6516"/>
      <sheetData sheetId="6517"/>
      <sheetData sheetId="6518"/>
      <sheetData sheetId="6519"/>
      <sheetData sheetId="6520"/>
      <sheetData sheetId="6521"/>
      <sheetData sheetId="6522"/>
      <sheetData sheetId="6523"/>
      <sheetData sheetId="6524"/>
      <sheetData sheetId="6525"/>
      <sheetData sheetId="6526"/>
      <sheetData sheetId="6527"/>
      <sheetData sheetId="6528"/>
      <sheetData sheetId="6529"/>
      <sheetData sheetId="6530"/>
      <sheetData sheetId="6531"/>
      <sheetData sheetId="6532"/>
      <sheetData sheetId="6533"/>
      <sheetData sheetId="6534"/>
      <sheetData sheetId="6535"/>
      <sheetData sheetId="6536"/>
      <sheetData sheetId="6537"/>
      <sheetData sheetId="6538"/>
      <sheetData sheetId="6539"/>
      <sheetData sheetId="6540"/>
      <sheetData sheetId="6541"/>
      <sheetData sheetId="6542"/>
      <sheetData sheetId="6543"/>
      <sheetData sheetId="6544"/>
      <sheetData sheetId="6545"/>
      <sheetData sheetId="6546"/>
      <sheetData sheetId="6547"/>
      <sheetData sheetId="6548"/>
      <sheetData sheetId="6549"/>
      <sheetData sheetId="6550"/>
      <sheetData sheetId="6551"/>
      <sheetData sheetId="6552"/>
      <sheetData sheetId="6553"/>
      <sheetData sheetId="6554"/>
      <sheetData sheetId="6555"/>
      <sheetData sheetId="6556"/>
      <sheetData sheetId="6557"/>
      <sheetData sheetId="6558"/>
      <sheetData sheetId="6559"/>
      <sheetData sheetId="6560"/>
      <sheetData sheetId="6561"/>
      <sheetData sheetId="6562"/>
      <sheetData sheetId="6563"/>
      <sheetData sheetId="6564"/>
      <sheetData sheetId="6565"/>
      <sheetData sheetId="6566"/>
      <sheetData sheetId="6567"/>
      <sheetData sheetId="6568"/>
      <sheetData sheetId="6569"/>
      <sheetData sheetId="6570"/>
      <sheetData sheetId="6571"/>
      <sheetData sheetId="6572"/>
      <sheetData sheetId="6573"/>
      <sheetData sheetId="6574"/>
      <sheetData sheetId="6575"/>
      <sheetData sheetId="6576"/>
      <sheetData sheetId="6577"/>
      <sheetData sheetId="6578"/>
      <sheetData sheetId="6579"/>
      <sheetData sheetId="6580"/>
      <sheetData sheetId="6581"/>
      <sheetData sheetId="6582"/>
      <sheetData sheetId="6583"/>
      <sheetData sheetId="6584"/>
      <sheetData sheetId="6585"/>
      <sheetData sheetId="6586"/>
      <sheetData sheetId="6587"/>
      <sheetData sheetId="6588"/>
      <sheetData sheetId="6589"/>
      <sheetData sheetId="6590"/>
      <sheetData sheetId="6591"/>
      <sheetData sheetId="6592"/>
      <sheetData sheetId="6593"/>
      <sheetData sheetId="6594"/>
      <sheetData sheetId="6595"/>
      <sheetData sheetId="6596"/>
      <sheetData sheetId="6597"/>
      <sheetData sheetId="6598"/>
      <sheetData sheetId="6599"/>
      <sheetData sheetId="6600"/>
      <sheetData sheetId="6601"/>
      <sheetData sheetId="6602"/>
      <sheetData sheetId="6603"/>
      <sheetData sheetId="6604"/>
      <sheetData sheetId="6605"/>
      <sheetData sheetId="6606"/>
      <sheetData sheetId="6607"/>
      <sheetData sheetId="6608"/>
      <sheetData sheetId="6609"/>
      <sheetData sheetId="6610"/>
      <sheetData sheetId="6611"/>
      <sheetData sheetId="6612"/>
      <sheetData sheetId="6613"/>
      <sheetData sheetId="6614"/>
      <sheetData sheetId="6615"/>
      <sheetData sheetId="6616"/>
      <sheetData sheetId="6617"/>
      <sheetData sheetId="6618"/>
      <sheetData sheetId="6619"/>
      <sheetData sheetId="6620"/>
      <sheetData sheetId="6621"/>
      <sheetData sheetId="6622"/>
      <sheetData sheetId="6623"/>
      <sheetData sheetId="6624"/>
      <sheetData sheetId="6625"/>
      <sheetData sheetId="6626"/>
      <sheetData sheetId="6627"/>
      <sheetData sheetId="6628"/>
      <sheetData sheetId="6629"/>
      <sheetData sheetId="6630"/>
      <sheetData sheetId="6631"/>
      <sheetData sheetId="6632"/>
      <sheetData sheetId="6633"/>
      <sheetData sheetId="6634"/>
      <sheetData sheetId="6635"/>
      <sheetData sheetId="6636"/>
      <sheetData sheetId="6637"/>
      <sheetData sheetId="6638"/>
      <sheetData sheetId="6639"/>
      <sheetData sheetId="6640"/>
      <sheetData sheetId="6641"/>
      <sheetData sheetId="6642"/>
      <sheetData sheetId="6643"/>
      <sheetData sheetId="6644"/>
      <sheetData sheetId="6645"/>
      <sheetData sheetId="6646"/>
      <sheetData sheetId="6647"/>
      <sheetData sheetId="6648"/>
      <sheetData sheetId="6649"/>
      <sheetData sheetId="6650"/>
      <sheetData sheetId="6651"/>
      <sheetData sheetId="6652"/>
      <sheetData sheetId="6653"/>
      <sheetData sheetId="6654"/>
      <sheetData sheetId="6655"/>
      <sheetData sheetId="6656"/>
      <sheetData sheetId="6657"/>
      <sheetData sheetId="6658"/>
      <sheetData sheetId="6659"/>
      <sheetData sheetId="6660"/>
      <sheetData sheetId="6661"/>
      <sheetData sheetId="6662"/>
      <sheetData sheetId="6663"/>
      <sheetData sheetId="6664"/>
      <sheetData sheetId="6665"/>
      <sheetData sheetId="6666"/>
      <sheetData sheetId="6667"/>
      <sheetData sheetId="6668"/>
      <sheetData sheetId="6669"/>
      <sheetData sheetId="6670"/>
      <sheetData sheetId="6671"/>
      <sheetData sheetId="6672"/>
      <sheetData sheetId="6673"/>
      <sheetData sheetId="6674"/>
      <sheetData sheetId="6675"/>
      <sheetData sheetId="6676"/>
      <sheetData sheetId="6677"/>
      <sheetData sheetId="6678"/>
      <sheetData sheetId="6679"/>
      <sheetData sheetId="6680"/>
      <sheetData sheetId="6681"/>
      <sheetData sheetId="6682"/>
      <sheetData sheetId="6683"/>
      <sheetData sheetId="6684"/>
      <sheetData sheetId="6685"/>
      <sheetData sheetId="6686"/>
      <sheetData sheetId="6687"/>
      <sheetData sheetId="6688"/>
      <sheetData sheetId="6689"/>
      <sheetData sheetId="6690"/>
      <sheetData sheetId="6691"/>
      <sheetData sheetId="6692"/>
      <sheetData sheetId="6693"/>
      <sheetData sheetId="6694"/>
      <sheetData sheetId="6695"/>
      <sheetData sheetId="6696"/>
      <sheetData sheetId="6697"/>
      <sheetData sheetId="6698"/>
      <sheetData sheetId="6699"/>
      <sheetData sheetId="6700"/>
      <sheetData sheetId="6701"/>
      <sheetData sheetId="6702"/>
      <sheetData sheetId="6703"/>
      <sheetData sheetId="6704"/>
      <sheetData sheetId="6705"/>
      <sheetData sheetId="6706"/>
      <sheetData sheetId="6707"/>
      <sheetData sheetId="6708"/>
      <sheetData sheetId="6709"/>
      <sheetData sheetId="6710"/>
      <sheetData sheetId="6711"/>
      <sheetData sheetId="6712"/>
      <sheetData sheetId="6713"/>
      <sheetData sheetId="6714"/>
      <sheetData sheetId="6715"/>
      <sheetData sheetId="6716"/>
      <sheetData sheetId="6717"/>
      <sheetData sheetId="6718"/>
      <sheetData sheetId="6719"/>
      <sheetData sheetId="6720"/>
      <sheetData sheetId="6721"/>
      <sheetData sheetId="6722"/>
      <sheetData sheetId="6723"/>
      <sheetData sheetId="6724"/>
      <sheetData sheetId="6725"/>
      <sheetData sheetId="6726"/>
      <sheetData sheetId="6727"/>
      <sheetData sheetId="6728"/>
      <sheetData sheetId="6729"/>
      <sheetData sheetId="6730"/>
      <sheetData sheetId="6731"/>
      <sheetData sheetId="6732"/>
      <sheetData sheetId="6733"/>
      <sheetData sheetId="6734"/>
      <sheetData sheetId="6735"/>
      <sheetData sheetId="6736"/>
      <sheetData sheetId="6737"/>
      <sheetData sheetId="6738"/>
      <sheetData sheetId="6739"/>
      <sheetData sheetId="6740"/>
      <sheetData sheetId="6741"/>
      <sheetData sheetId="6742"/>
      <sheetData sheetId="6743"/>
      <sheetData sheetId="6744"/>
      <sheetData sheetId="6745"/>
      <sheetData sheetId="6746"/>
      <sheetData sheetId="6747"/>
      <sheetData sheetId="6748" refreshError="1"/>
      <sheetData sheetId="6749" refreshError="1"/>
      <sheetData sheetId="6750" refreshError="1"/>
      <sheetData sheetId="6751" refreshError="1"/>
      <sheetData sheetId="6752" refreshError="1"/>
      <sheetData sheetId="6753" refreshError="1"/>
      <sheetData sheetId="6754" refreshError="1"/>
      <sheetData sheetId="6755" refreshError="1"/>
      <sheetData sheetId="6756" refreshError="1"/>
      <sheetData sheetId="6757" refreshError="1"/>
      <sheetData sheetId="6758" refreshError="1"/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/>
      <sheetData sheetId="6771"/>
      <sheetData sheetId="6772"/>
      <sheetData sheetId="6773"/>
      <sheetData sheetId="6774" refreshError="1"/>
      <sheetData sheetId="6775" refreshError="1"/>
      <sheetData sheetId="6776" refreshError="1"/>
      <sheetData sheetId="6777"/>
      <sheetData sheetId="6778"/>
      <sheetData sheetId="6779"/>
      <sheetData sheetId="6780"/>
      <sheetData sheetId="6781"/>
      <sheetData sheetId="6782" refreshError="1"/>
      <sheetData sheetId="6783" refreshError="1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/>
      <sheetData sheetId="6792"/>
      <sheetData sheetId="6793"/>
      <sheetData sheetId="6794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/>
      <sheetData sheetId="6805"/>
      <sheetData sheetId="6806" refreshError="1"/>
      <sheetData sheetId="6807" refreshError="1"/>
      <sheetData sheetId="6808" refreshError="1"/>
      <sheetData sheetId="6809" refreshError="1"/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/>
      <sheetData sheetId="6819" refreshError="1"/>
      <sheetData sheetId="6820"/>
      <sheetData sheetId="6821"/>
      <sheetData sheetId="6822" refreshError="1"/>
      <sheetData sheetId="6823" refreshError="1"/>
      <sheetData sheetId="6824"/>
      <sheetData sheetId="6825"/>
      <sheetData sheetId="6826"/>
      <sheetData sheetId="6827"/>
      <sheetData sheetId="6828" refreshError="1"/>
      <sheetData sheetId="6829" refreshError="1"/>
      <sheetData sheetId="6830"/>
      <sheetData sheetId="6831"/>
      <sheetData sheetId="6832"/>
      <sheetData sheetId="6833"/>
      <sheetData sheetId="6834" refreshError="1"/>
      <sheetData sheetId="6835" refreshError="1"/>
      <sheetData sheetId="6836" refreshError="1"/>
      <sheetData sheetId="6837" refreshError="1"/>
      <sheetData sheetId="6838"/>
      <sheetData sheetId="6839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 refreshError="1"/>
      <sheetData sheetId="6881" refreshError="1"/>
      <sheetData sheetId="6882" refreshError="1"/>
      <sheetData sheetId="6883" refreshError="1"/>
      <sheetData sheetId="6884" refreshError="1"/>
      <sheetData sheetId="6885"/>
      <sheetData sheetId="6886"/>
      <sheetData sheetId="6887"/>
      <sheetData sheetId="6888"/>
      <sheetData sheetId="6889"/>
      <sheetData sheetId="6890"/>
      <sheetData sheetId="6891"/>
      <sheetData sheetId="6892"/>
      <sheetData sheetId="6893" refreshError="1"/>
      <sheetData sheetId="6894" refreshError="1"/>
      <sheetData sheetId="6895"/>
      <sheetData sheetId="6896"/>
      <sheetData sheetId="6897"/>
      <sheetData sheetId="6898"/>
      <sheetData sheetId="6899"/>
      <sheetData sheetId="6900"/>
      <sheetData sheetId="6901"/>
      <sheetData sheetId="6902"/>
      <sheetData sheetId="6903"/>
      <sheetData sheetId="6904"/>
      <sheetData sheetId="6905"/>
      <sheetData sheetId="6906"/>
      <sheetData sheetId="6907"/>
      <sheetData sheetId="6908"/>
      <sheetData sheetId="6909"/>
      <sheetData sheetId="6910"/>
      <sheetData sheetId="6911"/>
      <sheetData sheetId="6912"/>
      <sheetData sheetId="6913"/>
      <sheetData sheetId="6914"/>
      <sheetData sheetId="6915"/>
      <sheetData sheetId="6916"/>
      <sheetData sheetId="6917"/>
      <sheetData sheetId="6918"/>
      <sheetData sheetId="6919"/>
      <sheetData sheetId="6920"/>
      <sheetData sheetId="6921"/>
      <sheetData sheetId="6922"/>
      <sheetData sheetId="6923"/>
      <sheetData sheetId="6924"/>
      <sheetData sheetId="6925"/>
      <sheetData sheetId="6926"/>
      <sheetData sheetId="6927"/>
      <sheetData sheetId="6928"/>
      <sheetData sheetId="6929"/>
      <sheetData sheetId="6930"/>
      <sheetData sheetId="6931"/>
      <sheetData sheetId="6932"/>
      <sheetData sheetId="6933"/>
      <sheetData sheetId="6934"/>
      <sheetData sheetId="6935"/>
      <sheetData sheetId="6936"/>
      <sheetData sheetId="6937"/>
      <sheetData sheetId="6938"/>
      <sheetData sheetId="6939"/>
      <sheetData sheetId="6940"/>
      <sheetData sheetId="6941"/>
      <sheetData sheetId="6942"/>
      <sheetData sheetId="6943"/>
      <sheetData sheetId="6944"/>
      <sheetData sheetId="6945"/>
      <sheetData sheetId="6946"/>
      <sheetData sheetId="6947"/>
      <sheetData sheetId="6948"/>
      <sheetData sheetId="6949"/>
      <sheetData sheetId="6950"/>
      <sheetData sheetId="6951"/>
      <sheetData sheetId="6952"/>
      <sheetData sheetId="6953"/>
      <sheetData sheetId="6954"/>
      <sheetData sheetId="6955"/>
      <sheetData sheetId="6956"/>
      <sheetData sheetId="6957"/>
      <sheetData sheetId="6958"/>
      <sheetData sheetId="6959"/>
      <sheetData sheetId="6960"/>
      <sheetData sheetId="6961"/>
      <sheetData sheetId="6962"/>
      <sheetData sheetId="6963"/>
      <sheetData sheetId="6964"/>
      <sheetData sheetId="6965"/>
      <sheetData sheetId="6966"/>
      <sheetData sheetId="6967"/>
      <sheetData sheetId="6968"/>
      <sheetData sheetId="6969"/>
      <sheetData sheetId="6970"/>
      <sheetData sheetId="6971"/>
      <sheetData sheetId="6972"/>
      <sheetData sheetId="6973"/>
      <sheetData sheetId="6974"/>
      <sheetData sheetId="6975"/>
      <sheetData sheetId="6976"/>
      <sheetData sheetId="6977"/>
      <sheetData sheetId="6978"/>
      <sheetData sheetId="6979"/>
      <sheetData sheetId="6980"/>
      <sheetData sheetId="6981"/>
      <sheetData sheetId="6982"/>
      <sheetData sheetId="6983"/>
      <sheetData sheetId="6984"/>
      <sheetData sheetId="6985"/>
      <sheetData sheetId="6986"/>
      <sheetData sheetId="6987"/>
      <sheetData sheetId="6988"/>
      <sheetData sheetId="6989"/>
      <sheetData sheetId="6990"/>
      <sheetData sheetId="6991"/>
      <sheetData sheetId="6992"/>
      <sheetData sheetId="6993"/>
      <sheetData sheetId="6994"/>
      <sheetData sheetId="6995"/>
      <sheetData sheetId="6996"/>
      <sheetData sheetId="6997"/>
      <sheetData sheetId="6998"/>
      <sheetData sheetId="6999"/>
      <sheetData sheetId="7000"/>
      <sheetData sheetId="7001"/>
      <sheetData sheetId="7002"/>
      <sheetData sheetId="7003"/>
      <sheetData sheetId="7004"/>
      <sheetData sheetId="7005"/>
      <sheetData sheetId="7006"/>
      <sheetData sheetId="7007"/>
      <sheetData sheetId="7008"/>
      <sheetData sheetId="7009"/>
      <sheetData sheetId="7010"/>
      <sheetData sheetId="7011"/>
      <sheetData sheetId="7012"/>
      <sheetData sheetId="7013"/>
      <sheetData sheetId="7014"/>
      <sheetData sheetId="7015"/>
      <sheetData sheetId="7016"/>
      <sheetData sheetId="7017"/>
      <sheetData sheetId="7018"/>
      <sheetData sheetId="7019"/>
      <sheetData sheetId="7020"/>
      <sheetData sheetId="7021"/>
      <sheetData sheetId="7022"/>
      <sheetData sheetId="7023"/>
      <sheetData sheetId="7024"/>
      <sheetData sheetId="7025"/>
      <sheetData sheetId="7026"/>
      <sheetData sheetId="7027"/>
      <sheetData sheetId="7028"/>
      <sheetData sheetId="7029"/>
      <sheetData sheetId="7030"/>
      <sheetData sheetId="7031"/>
      <sheetData sheetId="7032"/>
      <sheetData sheetId="7033"/>
      <sheetData sheetId="7034"/>
      <sheetData sheetId="7035"/>
      <sheetData sheetId="7036"/>
      <sheetData sheetId="7037"/>
      <sheetData sheetId="7038"/>
      <sheetData sheetId="7039"/>
      <sheetData sheetId="7040"/>
      <sheetData sheetId="7041"/>
      <sheetData sheetId="7042"/>
      <sheetData sheetId="7043"/>
      <sheetData sheetId="7044"/>
      <sheetData sheetId="7045"/>
      <sheetData sheetId="7046"/>
      <sheetData sheetId="7047"/>
      <sheetData sheetId="7048"/>
      <sheetData sheetId="7049"/>
      <sheetData sheetId="7050"/>
      <sheetData sheetId="7051"/>
      <sheetData sheetId="7052"/>
      <sheetData sheetId="7053"/>
      <sheetData sheetId="7054"/>
      <sheetData sheetId="7055"/>
      <sheetData sheetId="7056"/>
      <sheetData sheetId="7057"/>
      <sheetData sheetId="7058"/>
      <sheetData sheetId="7059"/>
      <sheetData sheetId="7060"/>
      <sheetData sheetId="7061"/>
      <sheetData sheetId="7062"/>
      <sheetData sheetId="7063"/>
      <sheetData sheetId="7064"/>
      <sheetData sheetId="7065"/>
      <sheetData sheetId="7066"/>
      <sheetData sheetId="7067"/>
      <sheetData sheetId="7068"/>
      <sheetData sheetId="7069"/>
      <sheetData sheetId="7070"/>
      <sheetData sheetId="7071"/>
      <sheetData sheetId="7072"/>
      <sheetData sheetId="7073"/>
      <sheetData sheetId="7074"/>
      <sheetData sheetId="7075"/>
      <sheetData sheetId="7076"/>
      <sheetData sheetId="7077"/>
      <sheetData sheetId="7078"/>
      <sheetData sheetId="7079"/>
      <sheetData sheetId="7080"/>
      <sheetData sheetId="7081"/>
      <sheetData sheetId="7082"/>
      <sheetData sheetId="7083"/>
      <sheetData sheetId="7084"/>
      <sheetData sheetId="7085"/>
      <sheetData sheetId="7086"/>
      <sheetData sheetId="7087"/>
      <sheetData sheetId="7088"/>
      <sheetData sheetId="7089"/>
      <sheetData sheetId="7090"/>
      <sheetData sheetId="7091"/>
      <sheetData sheetId="7092"/>
      <sheetData sheetId="7093"/>
      <sheetData sheetId="7094"/>
      <sheetData sheetId="7095"/>
      <sheetData sheetId="7096"/>
      <sheetData sheetId="7097"/>
      <sheetData sheetId="7098"/>
      <sheetData sheetId="7099"/>
      <sheetData sheetId="7100"/>
      <sheetData sheetId="7101"/>
      <sheetData sheetId="7102"/>
      <sheetData sheetId="7103"/>
      <sheetData sheetId="7104"/>
      <sheetData sheetId="7105"/>
      <sheetData sheetId="7106"/>
      <sheetData sheetId="7107"/>
      <sheetData sheetId="7108"/>
      <sheetData sheetId="7109"/>
      <sheetData sheetId="7110"/>
      <sheetData sheetId="7111"/>
      <sheetData sheetId="7112"/>
      <sheetData sheetId="7113"/>
      <sheetData sheetId="7114"/>
      <sheetData sheetId="7115"/>
      <sheetData sheetId="7116"/>
      <sheetData sheetId="7117"/>
      <sheetData sheetId="7118"/>
      <sheetData sheetId="7119"/>
      <sheetData sheetId="7120"/>
      <sheetData sheetId="7121"/>
      <sheetData sheetId="7122"/>
      <sheetData sheetId="7123"/>
      <sheetData sheetId="7124"/>
      <sheetData sheetId="7125"/>
      <sheetData sheetId="7126"/>
      <sheetData sheetId="7127"/>
      <sheetData sheetId="7128"/>
      <sheetData sheetId="7129"/>
      <sheetData sheetId="7130"/>
      <sheetData sheetId="7131"/>
      <sheetData sheetId="7132"/>
      <sheetData sheetId="7133"/>
      <sheetData sheetId="7134"/>
      <sheetData sheetId="7135"/>
      <sheetData sheetId="7136"/>
      <sheetData sheetId="7137"/>
      <sheetData sheetId="7138"/>
      <sheetData sheetId="7139"/>
      <sheetData sheetId="7140"/>
      <sheetData sheetId="7141"/>
      <sheetData sheetId="7142"/>
      <sheetData sheetId="7143"/>
      <sheetData sheetId="7144"/>
      <sheetData sheetId="7145"/>
      <sheetData sheetId="7146"/>
      <sheetData sheetId="7147"/>
      <sheetData sheetId="7148"/>
      <sheetData sheetId="7149"/>
      <sheetData sheetId="7150"/>
      <sheetData sheetId="7151"/>
      <sheetData sheetId="7152"/>
      <sheetData sheetId="7153"/>
      <sheetData sheetId="7154"/>
      <sheetData sheetId="7155"/>
      <sheetData sheetId="7156"/>
      <sheetData sheetId="7157"/>
      <sheetData sheetId="7158"/>
      <sheetData sheetId="7159"/>
      <sheetData sheetId="7160"/>
      <sheetData sheetId="7161"/>
      <sheetData sheetId="7162"/>
      <sheetData sheetId="7163"/>
      <sheetData sheetId="7164"/>
      <sheetData sheetId="7165"/>
      <sheetData sheetId="7166"/>
      <sheetData sheetId="7167"/>
      <sheetData sheetId="7168"/>
      <sheetData sheetId="7169"/>
      <sheetData sheetId="7170"/>
      <sheetData sheetId="7171"/>
      <sheetData sheetId="7172"/>
      <sheetData sheetId="7173"/>
      <sheetData sheetId="7174"/>
      <sheetData sheetId="7175"/>
      <sheetData sheetId="7176"/>
      <sheetData sheetId="7177"/>
      <sheetData sheetId="7178"/>
      <sheetData sheetId="7179"/>
      <sheetData sheetId="7180"/>
      <sheetData sheetId="7181"/>
      <sheetData sheetId="7182"/>
      <sheetData sheetId="7183"/>
      <sheetData sheetId="7184"/>
      <sheetData sheetId="7185"/>
      <sheetData sheetId="7186"/>
      <sheetData sheetId="7187"/>
      <sheetData sheetId="7188"/>
      <sheetData sheetId="7189"/>
      <sheetData sheetId="7190"/>
      <sheetData sheetId="7191"/>
      <sheetData sheetId="7192"/>
      <sheetData sheetId="7193"/>
      <sheetData sheetId="7194"/>
      <sheetData sheetId="7195"/>
      <sheetData sheetId="7196"/>
      <sheetData sheetId="7197"/>
      <sheetData sheetId="7198"/>
      <sheetData sheetId="7199"/>
      <sheetData sheetId="7200"/>
      <sheetData sheetId="7201"/>
      <sheetData sheetId="7202"/>
      <sheetData sheetId="7203"/>
      <sheetData sheetId="7204"/>
      <sheetData sheetId="7205"/>
      <sheetData sheetId="7206"/>
      <sheetData sheetId="7207"/>
      <sheetData sheetId="7208"/>
      <sheetData sheetId="7209"/>
      <sheetData sheetId="7210"/>
      <sheetData sheetId="7211"/>
      <sheetData sheetId="7212"/>
      <sheetData sheetId="7213"/>
      <sheetData sheetId="7214"/>
      <sheetData sheetId="7215"/>
      <sheetData sheetId="7216"/>
      <sheetData sheetId="7217"/>
      <sheetData sheetId="7218"/>
      <sheetData sheetId="7219"/>
      <sheetData sheetId="7220"/>
      <sheetData sheetId="7221"/>
      <sheetData sheetId="7222"/>
      <sheetData sheetId="7223"/>
      <sheetData sheetId="7224"/>
      <sheetData sheetId="7225"/>
      <sheetData sheetId="7226"/>
      <sheetData sheetId="7227"/>
      <sheetData sheetId="7228"/>
      <sheetData sheetId="7229"/>
      <sheetData sheetId="7230"/>
      <sheetData sheetId="7231"/>
      <sheetData sheetId="7232"/>
      <sheetData sheetId="7233"/>
      <sheetData sheetId="7234"/>
      <sheetData sheetId="7235"/>
      <sheetData sheetId="7236"/>
      <sheetData sheetId="7237"/>
      <sheetData sheetId="7238"/>
      <sheetData sheetId="7239"/>
      <sheetData sheetId="7240"/>
      <sheetData sheetId="7241"/>
      <sheetData sheetId="7242"/>
      <sheetData sheetId="7243"/>
      <sheetData sheetId="7244"/>
      <sheetData sheetId="7245"/>
      <sheetData sheetId="7246"/>
      <sheetData sheetId="7247"/>
      <sheetData sheetId="7248"/>
      <sheetData sheetId="7249"/>
      <sheetData sheetId="7250"/>
      <sheetData sheetId="7251"/>
      <sheetData sheetId="7252"/>
      <sheetData sheetId="7253"/>
      <sheetData sheetId="7254"/>
      <sheetData sheetId="7255"/>
      <sheetData sheetId="7256"/>
      <sheetData sheetId="7257"/>
      <sheetData sheetId="7258"/>
      <sheetData sheetId="7259"/>
      <sheetData sheetId="7260"/>
      <sheetData sheetId="7261"/>
      <sheetData sheetId="7262"/>
      <sheetData sheetId="7263"/>
      <sheetData sheetId="7264"/>
      <sheetData sheetId="7265"/>
      <sheetData sheetId="7266"/>
      <sheetData sheetId="7267"/>
      <sheetData sheetId="7268"/>
      <sheetData sheetId="7269"/>
      <sheetData sheetId="7270"/>
      <sheetData sheetId="7271"/>
      <sheetData sheetId="7272"/>
      <sheetData sheetId="7273"/>
      <sheetData sheetId="7274"/>
      <sheetData sheetId="7275"/>
      <sheetData sheetId="7276"/>
      <sheetData sheetId="7277"/>
      <sheetData sheetId="7278"/>
      <sheetData sheetId="7279"/>
      <sheetData sheetId="7280"/>
      <sheetData sheetId="7281"/>
      <sheetData sheetId="7282"/>
      <sheetData sheetId="7283"/>
      <sheetData sheetId="7284"/>
      <sheetData sheetId="7285"/>
      <sheetData sheetId="7286"/>
      <sheetData sheetId="7287"/>
      <sheetData sheetId="7288"/>
      <sheetData sheetId="7289"/>
      <sheetData sheetId="7290"/>
      <sheetData sheetId="7291"/>
      <sheetData sheetId="7292"/>
      <sheetData sheetId="7293"/>
      <sheetData sheetId="7294"/>
      <sheetData sheetId="7295"/>
      <sheetData sheetId="7296"/>
      <sheetData sheetId="7297"/>
      <sheetData sheetId="7298"/>
      <sheetData sheetId="7299"/>
      <sheetData sheetId="7300"/>
      <sheetData sheetId="7301"/>
      <sheetData sheetId="7302"/>
      <sheetData sheetId="7303"/>
      <sheetData sheetId="7304"/>
      <sheetData sheetId="7305"/>
      <sheetData sheetId="7306"/>
      <sheetData sheetId="7307"/>
      <sheetData sheetId="7308"/>
      <sheetData sheetId="7309"/>
      <sheetData sheetId="7310"/>
      <sheetData sheetId="7311"/>
      <sheetData sheetId="7312"/>
      <sheetData sheetId="7313"/>
      <sheetData sheetId="7314"/>
      <sheetData sheetId="7315"/>
      <sheetData sheetId="7316"/>
      <sheetData sheetId="7317"/>
      <sheetData sheetId="7318"/>
      <sheetData sheetId="7319"/>
      <sheetData sheetId="7320"/>
      <sheetData sheetId="7321"/>
      <sheetData sheetId="7322"/>
      <sheetData sheetId="7323"/>
      <sheetData sheetId="7324"/>
      <sheetData sheetId="7325"/>
      <sheetData sheetId="7326"/>
      <sheetData sheetId="7327"/>
      <sheetData sheetId="7328"/>
      <sheetData sheetId="7329"/>
      <sheetData sheetId="7330"/>
      <sheetData sheetId="7331"/>
      <sheetData sheetId="7332"/>
      <sheetData sheetId="7333"/>
      <sheetData sheetId="7334"/>
      <sheetData sheetId="7335"/>
      <sheetData sheetId="7336"/>
      <sheetData sheetId="7337"/>
      <sheetData sheetId="7338"/>
      <sheetData sheetId="7339"/>
      <sheetData sheetId="7340"/>
      <sheetData sheetId="7341"/>
      <sheetData sheetId="7342"/>
      <sheetData sheetId="7343"/>
      <sheetData sheetId="7344"/>
      <sheetData sheetId="7345"/>
      <sheetData sheetId="7346"/>
      <sheetData sheetId="7347"/>
      <sheetData sheetId="7348"/>
      <sheetData sheetId="7349"/>
      <sheetData sheetId="7350"/>
      <sheetData sheetId="7351"/>
      <sheetData sheetId="7352"/>
      <sheetData sheetId="7353"/>
      <sheetData sheetId="7354"/>
      <sheetData sheetId="7355"/>
      <sheetData sheetId="7356"/>
      <sheetData sheetId="7357"/>
      <sheetData sheetId="7358"/>
      <sheetData sheetId="7359"/>
      <sheetData sheetId="7360"/>
      <sheetData sheetId="7361"/>
      <sheetData sheetId="7362"/>
      <sheetData sheetId="7363"/>
      <sheetData sheetId="7364"/>
      <sheetData sheetId="7365"/>
      <sheetData sheetId="7366"/>
      <sheetData sheetId="7367"/>
      <sheetData sheetId="7368"/>
      <sheetData sheetId="7369"/>
      <sheetData sheetId="7370"/>
      <sheetData sheetId="7371"/>
      <sheetData sheetId="7372"/>
      <sheetData sheetId="7373"/>
      <sheetData sheetId="7374"/>
      <sheetData sheetId="7375"/>
      <sheetData sheetId="7376"/>
      <sheetData sheetId="7377"/>
      <sheetData sheetId="7378"/>
      <sheetData sheetId="7379"/>
      <sheetData sheetId="7380"/>
      <sheetData sheetId="7381"/>
      <sheetData sheetId="7382"/>
      <sheetData sheetId="7383"/>
      <sheetData sheetId="7384"/>
      <sheetData sheetId="7385"/>
      <sheetData sheetId="7386"/>
      <sheetData sheetId="7387"/>
      <sheetData sheetId="7388"/>
      <sheetData sheetId="7389"/>
      <sheetData sheetId="7390"/>
      <sheetData sheetId="7391"/>
      <sheetData sheetId="7392"/>
      <sheetData sheetId="7393"/>
      <sheetData sheetId="7394"/>
      <sheetData sheetId="7395"/>
      <sheetData sheetId="7396"/>
      <sheetData sheetId="7397"/>
      <sheetData sheetId="7398"/>
      <sheetData sheetId="7399"/>
      <sheetData sheetId="7400"/>
      <sheetData sheetId="7401"/>
      <sheetData sheetId="7402"/>
      <sheetData sheetId="7403"/>
      <sheetData sheetId="7404"/>
      <sheetData sheetId="7405"/>
      <sheetData sheetId="7406"/>
      <sheetData sheetId="7407"/>
      <sheetData sheetId="7408"/>
      <sheetData sheetId="7409"/>
      <sheetData sheetId="7410"/>
      <sheetData sheetId="7411"/>
      <sheetData sheetId="7412"/>
      <sheetData sheetId="7413"/>
      <sheetData sheetId="7414"/>
      <sheetData sheetId="7415"/>
      <sheetData sheetId="7416"/>
      <sheetData sheetId="7417"/>
      <sheetData sheetId="7418"/>
      <sheetData sheetId="7419"/>
      <sheetData sheetId="7420"/>
      <sheetData sheetId="7421"/>
      <sheetData sheetId="7422"/>
      <sheetData sheetId="7423"/>
      <sheetData sheetId="7424"/>
      <sheetData sheetId="7425"/>
      <sheetData sheetId="7426"/>
      <sheetData sheetId="7427"/>
      <sheetData sheetId="7428"/>
      <sheetData sheetId="7429"/>
      <sheetData sheetId="7430"/>
      <sheetData sheetId="7431"/>
      <sheetData sheetId="7432"/>
      <sheetData sheetId="7433"/>
      <sheetData sheetId="7434"/>
      <sheetData sheetId="7435"/>
      <sheetData sheetId="7436"/>
      <sheetData sheetId="7437"/>
      <sheetData sheetId="7438"/>
      <sheetData sheetId="7439"/>
      <sheetData sheetId="7440"/>
      <sheetData sheetId="7441"/>
      <sheetData sheetId="7442"/>
      <sheetData sheetId="7443"/>
      <sheetData sheetId="7444"/>
      <sheetData sheetId="7445"/>
      <sheetData sheetId="7446"/>
      <sheetData sheetId="7447"/>
      <sheetData sheetId="7448"/>
      <sheetData sheetId="7449"/>
      <sheetData sheetId="7450" refreshError="1"/>
      <sheetData sheetId="7451"/>
      <sheetData sheetId="7452"/>
      <sheetData sheetId="7453"/>
      <sheetData sheetId="7454"/>
      <sheetData sheetId="7455"/>
      <sheetData sheetId="7456"/>
      <sheetData sheetId="7457"/>
      <sheetData sheetId="7458"/>
      <sheetData sheetId="7459"/>
      <sheetData sheetId="7460"/>
      <sheetData sheetId="7461"/>
      <sheetData sheetId="7462"/>
      <sheetData sheetId="7463"/>
      <sheetData sheetId="7464"/>
      <sheetData sheetId="7465"/>
      <sheetData sheetId="7466" refreshError="1"/>
      <sheetData sheetId="7467" refreshError="1"/>
      <sheetData sheetId="7468" refreshError="1"/>
      <sheetData sheetId="7469"/>
      <sheetData sheetId="7470"/>
      <sheetData sheetId="7471"/>
      <sheetData sheetId="7472"/>
      <sheetData sheetId="7473"/>
      <sheetData sheetId="7474"/>
      <sheetData sheetId="7475"/>
      <sheetData sheetId="7476"/>
      <sheetData sheetId="7477" refreshError="1"/>
      <sheetData sheetId="7478" refreshError="1"/>
      <sheetData sheetId="7479" refreshError="1"/>
      <sheetData sheetId="7480" refreshError="1"/>
      <sheetData sheetId="7481" refreshError="1"/>
      <sheetData sheetId="7482" refreshError="1"/>
      <sheetData sheetId="7483" refreshError="1"/>
      <sheetData sheetId="7484"/>
      <sheetData sheetId="7485"/>
      <sheetData sheetId="7486"/>
      <sheetData sheetId="7487"/>
      <sheetData sheetId="7488"/>
      <sheetData sheetId="7489"/>
      <sheetData sheetId="7490"/>
      <sheetData sheetId="7491"/>
      <sheetData sheetId="7492"/>
      <sheetData sheetId="7493"/>
      <sheetData sheetId="7494"/>
      <sheetData sheetId="7495"/>
      <sheetData sheetId="7496"/>
      <sheetData sheetId="7497"/>
      <sheetData sheetId="7498"/>
      <sheetData sheetId="7499"/>
      <sheetData sheetId="7500"/>
      <sheetData sheetId="7501"/>
      <sheetData sheetId="7502"/>
      <sheetData sheetId="7503"/>
      <sheetData sheetId="7504"/>
      <sheetData sheetId="7505"/>
      <sheetData sheetId="7506"/>
      <sheetData sheetId="7507"/>
      <sheetData sheetId="7508"/>
      <sheetData sheetId="7509"/>
      <sheetData sheetId="7510"/>
      <sheetData sheetId="7511"/>
      <sheetData sheetId="7512"/>
      <sheetData sheetId="7513"/>
      <sheetData sheetId="7514"/>
      <sheetData sheetId="7515"/>
      <sheetData sheetId="7516"/>
      <sheetData sheetId="7517"/>
      <sheetData sheetId="7518"/>
      <sheetData sheetId="7519"/>
      <sheetData sheetId="7520"/>
      <sheetData sheetId="7521"/>
      <sheetData sheetId="7522"/>
      <sheetData sheetId="7523"/>
      <sheetData sheetId="7524"/>
      <sheetData sheetId="7525"/>
      <sheetData sheetId="7526"/>
      <sheetData sheetId="7527"/>
      <sheetData sheetId="7528"/>
      <sheetData sheetId="7529"/>
      <sheetData sheetId="7530"/>
      <sheetData sheetId="7531"/>
      <sheetData sheetId="7532"/>
      <sheetData sheetId="7533"/>
      <sheetData sheetId="7534"/>
      <sheetData sheetId="7535"/>
      <sheetData sheetId="7536"/>
      <sheetData sheetId="7537"/>
      <sheetData sheetId="7538"/>
      <sheetData sheetId="7539"/>
      <sheetData sheetId="7540"/>
      <sheetData sheetId="7541"/>
      <sheetData sheetId="7542"/>
      <sheetData sheetId="7543"/>
      <sheetData sheetId="7544"/>
      <sheetData sheetId="7545"/>
      <sheetData sheetId="7546"/>
      <sheetData sheetId="7547"/>
      <sheetData sheetId="7548"/>
      <sheetData sheetId="7549"/>
      <sheetData sheetId="7550"/>
      <sheetData sheetId="7551"/>
      <sheetData sheetId="7552"/>
      <sheetData sheetId="7553"/>
      <sheetData sheetId="7554"/>
      <sheetData sheetId="7555"/>
      <sheetData sheetId="7556"/>
      <sheetData sheetId="7557"/>
      <sheetData sheetId="7558"/>
      <sheetData sheetId="7559"/>
      <sheetData sheetId="7560"/>
      <sheetData sheetId="7561"/>
      <sheetData sheetId="7562"/>
      <sheetData sheetId="7563"/>
      <sheetData sheetId="7564"/>
      <sheetData sheetId="7565"/>
      <sheetData sheetId="7566"/>
      <sheetData sheetId="7567"/>
      <sheetData sheetId="7568"/>
      <sheetData sheetId="7569"/>
      <sheetData sheetId="7570"/>
      <sheetData sheetId="7571"/>
      <sheetData sheetId="7572"/>
      <sheetData sheetId="7573"/>
      <sheetData sheetId="7574"/>
      <sheetData sheetId="7575"/>
      <sheetData sheetId="7576"/>
      <sheetData sheetId="7577"/>
      <sheetData sheetId="7578"/>
      <sheetData sheetId="7579"/>
      <sheetData sheetId="7580"/>
      <sheetData sheetId="7581"/>
      <sheetData sheetId="7582"/>
      <sheetData sheetId="7583"/>
      <sheetData sheetId="7584"/>
      <sheetData sheetId="7585"/>
      <sheetData sheetId="7586"/>
      <sheetData sheetId="7587"/>
      <sheetData sheetId="7588"/>
      <sheetData sheetId="7589"/>
      <sheetData sheetId="7590"/>
      <sheetData sheetId="7591"/>
      <sheetData sheetId="7592"/>
      <sheetData sheetId="7593"/>
      <sheetData sheetId="7594"/>
      <sheetData sheetId="7595"/>
      <sheetData sheetId="7596"/>
      <sheetData sheetId="7597"/>
      <sheetData sheetId="7598"/>
      <sheetData sheetId="7599"/>
      <sheetData sheetId="7600"/>
      <sheetData sheetId="7601"/>
      <sheetData sheetId="7602"/>
      <sheetData sheetId="7603"/>
      <sheetData sheetId="7604"/>
      <sheetData sheetId="7605"/>
      <sheetData sheetId="7606"/>
      <sheetData sheetId="7607"/>
      <sheetData sheetId="7608"/>
      <sheetData sheetId="7609"/>
      <sheetData sheetId="7610"/>
      <sheetData sheetId="7611"/>
      <sheetData sheetId="7612"/>
      <sheetData sheetId="7613"/>
      <sheetData sheetId="7614"/>
      <sheetData sheetId="7615"/>
      <sheetData sheetId="7616"/>
      <sheetData sheetId="7617"/>
      <sheetData sheetId="7618"/>
      <sheetData sheetId="7619"/>
      <sheetData sheetId="7620"/>
      <sheetData sheetId="7621"/>
      <sheetData sheetId="7622"/>
      <sheetData sheetId="7623"/>
      <sheetData sheetId="7624"/>
      <sheetData sheetId="7625"/>
      <sheetData sheetId="7626"/>
      <sheetData sheetId="7627"/>
      <sheetData sheetId="7628"/>
      <sheetData sheetId="7629"/>
      <sheetData sheetId="7630"/>
      <sheetData sheetId="7631"/>
      <sheetData sheetId="7632"/>
      <sheetData sheetId="7633"/>
      <sheetData sheetId="7634"/>
      <sheetData sheetId="7635"/>
      <sheetData sheetId="7636"/>
      <sheetData sheetId="7637"/>
      <sheetData sheetId="7638"/>
      <sheetData sheetId="7639"/>
      <sheetData sheetId="7640"/>
      <sheetData sheetId="7641"/>
      <sheetData sheetId="7642"/>
      <sheetData sheetId="7643"/>
      <sheetData sheetId="7644"/>
      <sheetData sheetId="7645"/>
      <sheetData sheetId="7646"/>
      <sheetData sheetId="7647"/>
      <sheetData sheetId="7648"/>
      <sheetData sheetId="7649"/>
      <sheetData sheetId="7650"/>
      <sheetData sheetId="7651"/>
      <sheetData sheetId="7652"/>
      <sheetData sheetId="7653"/>
      <sheetData sheetId="7654"/>
      <sheetData sheetId="7655"/>
      <sheetData sheetId="7656"/>
      <sheetData sheetId="7657"/>
      <sheetData sheetId="7658"/>
      <sheetData sheetId="7659"/>
      <sheetData sheetId="7660"/>
      <sheetData sheetId="7661"/>
      <sheetData sheetId="7662"/>
      <sheetData sheetId="7663"/>
      <sheetData sheetId="7664"/>
      <sheetData sheetId="7665"/>
      <sheetData sheetId="7666"/>
      <sheetData sheetId="7667"/>
      <sheetData sheetId="7668"/>
      <sheetData sheetId="7669"/>
      <sheetData sheetId="7670"/>
      <sheetData sheetId="7671"/>
      <sheetData sheetId="7672"/>
      <sheetData sheetId="7673"/>
      <sheetData sheetId="7674"/>
      <sheetData sheetId="7675"/>
      <sheetData sheetId="7676"/>
      <sheetData sheetId="7677"/>
      <sheetData sheetId="7678"/>
      <sheetData sheetId="7679"/>
      <sheetData sheetId="7680"/>
      <sheetData sheetId="7681"/>
      <sheetData sheetId="7682"/>
      <sheetData sheetId="7683"/>
      <sheetData sheetId="7684"/>
      <sheetData sheetId="7685"/>
      <sheetData sheetId="7686"/>
      <sheetData sheetId="7687"/>
      <sheetData sheetId="7688"/>
      <sheetData sheetId="7689"/>
      <sheetData sheetId="7690"/>
      <sheetData sheetId="7691"/>
      <sheetData sheetId="7692"/>
      <sheetData sheetId="7693"/>
      <sheetData sheetId="7694"/>
      <sheetData sheetId="7695"/>
      <sheetData sheetId="7696"/>
      <sheetData sheetId="7697"/>
      <sheetData sheetId="7698"/>
      <sheetData sheetId="7699"/>
      <sheetData sheetId="7700"/>
      <sheetData sheetId="7701"/>
      <sheetData sheetId="7702"/>
      <sheetData sheetId="7703"/>
      <sheetData sheetId="7704"/>
      <sheetData sheetId="7705"/>
      <sheetData sheetId="7706"/>
      <sheetData sheetId="7707"/>
      <sheetData sheetId="7708"/>
      <sheetData sheetId="7709"/>
      <sheetData sheetId="7710"/>
      <sheetData sheetId="7711"/>
      <sheetData sheetId="7712"/>
      <sheetData sheetId="7713"/>
      <sheetData sheetId="7714"/>
      <sheetData sheetId="7715"/>
      <sheetData sheetId="7716"/>
      <sheetData sheetId="7717"/>
      <sheetData sheetId="7718"/>
      <sheetData sheetId="7719"/>
      <sheetData sheetId="7720"/>
      <sheetData sheetId="7721"/>
      <sheetData sheetId="7722"/>
      <sheetData sheetId="7723"/>
      <sheetData sheetId="7724"/>
      <sheetData sheetId="7725"/>
      <sheetData sheetId="7726"/>
      <sheetData sheetId="7727"/>
      <sheetData sheetId="7728"/>
      <sheetData sheetId="7729"/>
      <sheetData sheetId="7730"/>
      <sheetData sheetId="7731"/>
      <sheetData sheetId="7732"/>
      <sheetData sheetId="7733"/>
      <sheetData sheetId="7734"/>
      <sheetData sheetId="7735"/>
      <sheetData sheetId="7736"/>
      <sheetData sheetId="7737"/>
      <sheetData sheetId="7738"/>
      <sheetData sheetId="7739"/>
      <sheetData sheetId="7740"/>
      <sheetData sheetId="7741"/>
      <sheetData sheetId="7742"/>
      <sheetData sheetId="7743"/>
      <sheetData sheetId="7744"/>
      <sheetData sheetId="7745"/>
      <sheetData sheetId="7746"/>
      <sheetData sheetId="7747"/>
      <sheetData sheetId="7748"/>
      <sheetData sheetId="7749"/>
      <sheetData sheetId="7750"/>
      <sheetData sheetId="7751"/>
      <sheetData sheetId="7752"/>
      <sheetData sheetId="7753"/>
      <sheetData sheetId="7754"/>
      <sheetData sheetId="7755"/>
      <sheetData sheetId="7756"/>
      <sheetData sheetId="7757"/>
      <sheetData sheetId="7758"/>
      <sheetData sheetId="7759"/>
      <sheetData sheetId="7760"/>
      <sheetData sheetId="7761"/>
      <sheetData sheetId="7762"/>
      <sheetData sheetId="7763"/>
      <sheetData sheetId="7764"/>
      <sheetData sheetId="7765"/>
      <sheetData sheetId="7766"/>
      <sheetData sheetId="7767"/>
      <sheetData sheetId="7768"/>
      <sheetData sheetId="7769"/>
      <sheetData sheetId="7770"/>
      <sheetData sheetId="7771"/>
      <sheetData sheetId="7772"/>
      <sheetData sheetId="7773"/>
      <sheetData sheetId="7774"/>
      <sheetData sheetId="7775"/>
      <sheetData sheetId="7776"/>
      <sheetData sheetId="7777"/>
      <sheetData sheetId="7778"/>
      <sheetData sheetId="7779"/>
      <sheetData sheetId="7780"/>
      <sheetData sheetId="7781"/>
      <sheetData sheetId="7782"/>
      <sheetData sheetId="7783"/>
      <sheetData sheetId="7784"/>
      <sheetData sheetId="7785"/>
      <sheetData sheetId="7786"/>
      <sheetData sheetId="7787"/>
      <sheetData sheetId="7788"/>
      <sheetData sheetId="7789"/>
      <sheetData sheetId="7790"/>
      <sheetData sheetId="7791"/>
      <sheetData sheetId="7792"/>
      <sheetData sheetId="7793"/>
      <sheetData sheetId="7794"/>
      <sheetData sheetId="7795"/>
      <sheetData sheetId="7796"/>
      <sheetData sheetId="7797"/>
      <sheetData sheetId="7798"/>
      <sheetData sheetId="7799"/>
      <sheetData sheetId="7800"/>
      <sheetData sheetId="7801"/>
      <sheetData sheetId="7802"/>
      <sheetData sheetId="7803"/>
      <sheetData sheetId="7804"/>
      <sheetData sheetId="7805"/>
      <sheetData sheetId="7806"/>
      <sheetData sheetId="7807"/>
      <sheetData sheetId="7808"/>
      <sheetData sheetId="7809"/>
      <sheetData sheetId="7810"/>
      <sheetData sheetId="7811"/>
      <sheetData sheetId="7812"/>
      <sheetData sheetId="7813"/>
      <sheetData sheetId="7814"/>
      <sheetData sheetId="7815"/>
      <sheetData sheetId="7816"/>
      <sheetData sheetId="7817"/>
      <sheetData sheetId="7818"/>
      <sheetData sheetId="7819"/>
      <sheetData sheetId="7820"/>
      <sheetData sheetId="7821"/>
      <sheetData sheetId="7822"/>
      <sheetData sheetId="7823"/>
      <sheetData sheetId="7824"/>
      <sheetData sheetId="7825"/>
      <sheetData sheetId="7826"/>
      <sheetData sheetId="7827"/>
      <sheetData sheetId="7828"/>
      <sheetData sheetId="7829"/>
      <sheetData sheetId="7830"/>
      <sheetData sheetId="7831"/>
      <sheetData sheetId="7832"/>
      <sheetData sheetId="7833"/>
      <sheetData sheetId="7834"/>
      <sheetData sheetId="7835"/>
      <sheetData sheetId="7836"/>
      <sheetData sheetId="7837"/>
      <sheetData sheetId="7838"/>
      <sheetData sheetId="7839"/>
      <sheetData sheetId="7840"/>
      <sheetData sheetId="7841"/>
      <sheetData sheetId="7842"/>
      <sheetData sheetId="7843"/>
      <sheetData sheetId="7844"/>
      <sheetData sheetId="7845"/>
      <sheetData sheetId="7846"/>
      <sheetData sheetId="7847"/>
      <sheetData sheetId="7848"/>
      <sheetData sheetId="7849"/>
      <sheetData sheetId="7850"/>
      <sheetData sheetId="7851"/>
      <sheetData sheetId="7852"/>
      <sheetData sheetId="7853"/>
      <sheetData sheetId="7854"/>
      <sheetData sheetId="7855"/>
      <sheetData sheetId="7856"/>
      <sheetData sheetId="7857"/>
      <sheetData sheetId="7858"/>
      <sheetData sheetId="7859"/>
      <sheetData sheetId="7860"/>
      <sheetData sheetId="7861"/>
      <sheetData sheetId="7862"/>
      <sheetData sheetId="7863"/>
      <sheetData sheetId="7864"/>
      <sheetData sheetId="7865"/>
      <sheetData sheetId="7866"/>
      <sheetData sheetId="7867"/>
      <sheetData sheetId="7868"/>
      <sheetData sheetId="7869"/>
      <sheetData sheetId="7870"/>
      <sheetData sheetId="7871"/>
      <sheetData sheetId="7872"/>
      <sheetData sheetId="7873"/>
      <sheetData sheetId="7874"/>
      <sheetData sheetId="7875"/>
      <sheetData sheetId="7876"/>
      <sheetData sheetId="7877"/>
      <sheetData sheetId="7878"/>
      <sheetData sheetId="7879"/>
      <sheetData sheetId="7880"/>
      <sheetData sheetId="7881"/>
      <sheetData sheetId="7882"/>
      <sheetData sheetId="7883"/>
      <sheetData sheetId="7884"/>
      <sheetData sheetId="7885"/>
      <sheetData sheetId="7886"/>
      <sheetData sheetId="7887"/>
      <sheetData sheetId="7888"/>
      <sheetData sheetId="7889"/>
      <sheetData sheetId="7890"/>
      <sheetData sheetId="7891"/>
      <sheetData sheetId="7892"/>
      <sheetData sheetId="7893"/>
      <sheetData sheetId="7894"/>
      <sheetData sheetId="7895"/>
      <sheetData sheetId="7896"/>
      <sheetData sheetId="7897"/>
      <sheetData sheetId="7898"/>
      <sheetData sheetId="7899"/>
      <sheetData sheetId="7900"/>
      <sheetData sheetId="7901"/>
      <sheetData sheetId="7902"/>
      <sheetData sheetId="7903"/>
      <sheetData sheetId="7904"/>
      <sheetData sheetId="7905"/>
      <sheetData sheetId="7906"/>
      <sheetData sheetId="7907"/>
      <sheetData sheetId="7908"/>
      <sheetData sheetId="7909"/>
      <sheetData sheetId="7910"/>
      <sheetData sheetId="7911"/>
      <sheetData sheetId="7912"/>
      <sheetData sheetId="7913"/>
      <sheetData sheetId="7914"/>
      <sheetData sheetId="7915"/>
      <sheetData sheetId="7916"/>
      <sheetData sheetId="7917"/>
      <sheetData sheetId="7918"/>
      <sheetData sheetId="7919"/>
      <sheetData sheetId="7920"/>
      <sheetData sheetId="7921"/>
      <sheetData sheetId="7922"/>
      <sheetData sheetId="7923"/>
      <sheetData sheetId="7924"/>
      <sheetData sheetId="7925"/>
      <sheetData sheetId="7926"/>
      <sheetData sheetId="7927"/>
      <sheetData sheetId="7928"/>
      <sheetData sheetId="7929"/>
      <sheetData sheetId="7930"/>
      <sheetData sheetId="7931"/>
      <sheetData sheetId="7932"/>
      <sheetData sheetId="7933"/>
      <sheetData sheetId="7934"/>
      <sheetData sheetId="7935"/>
      <sheetData sheetId="7936"/>
      <sheetData sheetId="7937"/>
      <sheetData sheetId="7938"/>
      <sheetData sheetId="7939"/>
      <sheetData sheetId="7940"/>
      <sheetData sheetId="7941"/>
      <sheetData sheetId="7942"/>
      <sheetData sheetId="7943"/>
      <sheetData sheetId="7944"/>
      <sheetData sheetId="7945"/>
      <sheetData sheetId="7946"/>
      <sheetData sheetId="7947"/>
      <sheetData sheetId="7948"/>
      <sheetData sheetId="7949"/>
      <sheetData sheetId="7950"/>
      <sheetData sheetId="7951"/>
      <sheetData sheetId="7952"/>
      <sheetData sheetId="7953"/>
      <sheetData sheetId="7954"/>
      <sheetData sheetId="7955"/>
      <sheetData sheetId="7956"/>
      <sheetData sheetId="7957"/>
      <sheetData sheetId="7958"/>
      <sheetData sheetId="7959"/>
      <sheetData sheetId="7960"/>
      <sheetData sheetId="7961"/>
      <sheetData sheetId="7962"/>
      <sheetData sheetId="7963"/>
      <sheetData sheetId="7964"/>
      <sheetData sheetId="7965"/>
      <sheetData sheetId="7966"/>
      <sheetData sheetId="7967"/>
      <sheetData sheetId="7968"/>
      <sheetData sheetId="7969"/>
      <sheetData sheetId="7970"/>
      <sheetData sheetId="7971"/>
      <sheetData sheetId="7972"/>
      <sheetData sheetId="7973"/>
      <sheetData sheetId="7974"/>
      <sheetData sheetId="7975"/>
      <sheetData sheetId="7976"/>
      <sheetData sheetId="7977"/>
      <sheetData sheetId="7978"/>
      <sheetData sheetId="7979"/>
      <sheetData sheetId="7980"/>
      <sheetData sheetId="7981"/>
      <sheetData sheetId="7982"/>
      <sheetData sheetId="7983"/>
      <sheetData sheetId="7984"/>
      <sheetData sheetId="7985"/>
      <sheetData sheetId="7986"/>
      <sheetData sheetId="7987"/>
      <sheetData sheetId="7988"/>
      <sheetData sheetId="7989"/>
      <sheetData sheetId="7990"/>
      <sheetData sheetId="7991"/>
      <sheetData sheetId="7992"/>
      <sheetData sheetId="7993"/>
      <sheetData sheetId="7994"/>
      <sheetData sheetId="7995"/>
      <sheetData sheetId="7996"/>
      <sheetData sheetId="7997"/>
      <sheetData sheetId="7998"/>
      <sheetData sheetId="7999"/>
      <sheetData sheetId="8000"/>
      <sheetData sheetId="8001"/>
      <sheetData sheetId="8002"/>
      <sheetData sheetId="8003"/>
      <sheetData sheetId="8004" refreshError="1"/>
      <sheetData sheetId="8005" refreshError="1"/>
      <sheetData sheetId="8006" refreshError="1"/>
      <sheetData sheetId="8007" refreshError="1"/>
      <sheetData sheetId="8008" refreshError="1"/>
      <sheetData sheetId="8009" refreshError="1"/>
      <sheetData sheetId="8010" refreshError="1"/>
      <sheetData sheetId="8011" refreshError="1"/>
      <sheetData sheetId="8012" refreshError="1"/>
      <sheetData sheetId="8013" refreshError="1"/>
      <sheetData sheetId="8014" refreshError="1"/>
      <sheetData sheetId="8015" refreshError="1"/>
      <sheetData sheetId="8016" refreshError="1"/>
      <sheetData sheetId="8017" refreshError="1"/>
      <sheetData sheetId="8018" refreshError="1"/>
      <sheetData sheetId="8019" refreshError="1"/>
      <sheetData sheetId="8020" refreshError="1"/>
      <sheetData sheetId="8021" refreshError="1"/>
      <sheetData sheetId="8022" refreshError="1"/>
      <sheetData sheetId="8023" refreshError="1"/>
      <sheetData sheetId="8024" refreshError="1"/>
      <sheetData sheetId="8025" refreshError="1"/>
      <sheetData sheetId="8026" refreshError="1"/>
      <sheetData sheetId="8027" refreshError="1"/>
      <sheetData sheetId="8028" refreshError="1"/>
      <sheetData sheetId="8029" refreshError="1"/>
      <sheetData sheetId="8030" refreshError="1"/>
      <sheetData sheetId="8031" refreshError="1"/>
      <sheetData sheetId="8032" refreshError="1"/>
      <sheetData sheetId="8033" refreshError="1"/>
      <sheetData sheetId="8034" refreshError="1"/>
      <sheetData sheetId="8035" refreshError="1"/>
      <sheetData sheetId="8036" refreshError="1"/>
      <sheetData sheetId="8037" refreshError="1"/>
      <sheetData sheetId="8038" refreshError="1"/>
      <sheetData sheetId="8039" refreshError="1"/>
      <sheetData sheetId="8040" refreshError="1"/>
      <sheetData sheetId="8041" refreshError="1"/>
      <sheetData sheetId="8042" refreshError="1"/>
      <sheetData sheetId="8043" refreshError="1"/>
      <sheetData sheetId="8044" refreshError="1"/>
      <sheetData sheetId="8045" refreshError="1"/>
      <sheetData sheetId="8046"/>
      <sheetData sheetId="8047"/>
      <sheetData sheetId="8048"/>
      <sheetData sheetId="8049"/>
      <sheetData sheetId="8050"/>
      <sheetData sheetId="8051"/>
      <sheetData sheetId="8052"/>
      <sheetData sheetId="8053"/>
      <sheetData sheetId="8054" refreshError="1"/>
      <sheetData sheetId="8055" refreshError="1"/>
      <sheetData sheetId="8056" refreshError="1"/>
      <sheetData sheetId="8057" refreshError="1"/>
      <sheetData sheetId="8058" refreshError="1"/>
      <sheetData sheetId="8059" refreshError="1"/>
      <sheetData sheetId="8060" refreshError="1"/>
      <sheetData sheetId="8061" refreshError="1"/>
      <sheetData sheetId="8062" refreshError="1"/>
      <sheetData sheetId="8063" refreshError="1"/>
      <sheetData sheetId="8064" refreshError="1"/>
      <sheetData sheetId="8065" refreshError="1"/>
      <sheetData sheetId="8066" refreshError="1"/>
      <sheetData sheetId="8067" refreshError="1"/>
      <sheetData sheetId="8068" refreshError="1"/>
      <sheetData sheetId="8069" refreshError="1"/>
      <sheetData sheetId="8070" refreshError="1"/>
      <sheetData sheetId="8071" refreshError="1"/>
      <sheetData sheetId="8072" refreshError="1"/>
      <sheetData sheetId="8073" refreshError="1"/>
      <sheetData sheetId="8074" refreshError="1"/>
      <sheetData sheetId="8075" refreshError="1"/>
      <sheetData sheetId="8076" refreshError="1"/>
      <sheetData sheetId="8077"/>
      <sheetData sheetId="8078" refreshError="1"/>
      <sheetData sheetId="8079" refreshError="1"/>
      <sheetData sheetId="8080" refreshError="1"/>
      <sheetData sheetId="8081" refreshError="1"/>
      <sheetData sheetId="8082" refreshError="1"/>
      <sheetData sheetId="8083" refreshError="1"/>
      <sheetData sheetId="8084" refreshError="1"/>
      <sheetData sheetId="8085" refreshError="1"/>
      <sheetData sheetId="8086" refreshError="1"/>
      <sheetData sheetId="8087" refreshError="1"/>
      <sheetData sheetId="8088" refreshError="1"/>
      <sheetData sheetId="8089" refreshError="1"/>
      <sheetData sheetId="8090" refreshError="1"/>
      <sheetData sheetId="8091" refreshError="1"/>
      <sheetData sheetId="8092" refreshError="1"/>
      <sheetData sheetId="8093" refreshError="1"/>
      <sheetData sheetId="8094" refreshError="1"/>
      <sheetData sheetId="8095" refreshError="1"/>
      <sheetData sheetId="8096" refreshError="1"/>
      <sheetData sheetId="8097" refreshError="1"/>
      <sheetData sheetId="8098" refreshError="1"/>
      <sheetData sheetId="8099" refreshError="1"/>
      <sheetData sheetId="8100" refreshError="1"/>
      <sheetData sheetId="8101" refreshError="1"/>
      <sheetData sheetId="8102" refreshError="1"/>
      <sheetData sheetId="8103" refreshError="1"/>
      <sheetData sheetId="8104" refreshError="1"/>
      <sheetData sheetId="8105" refreshError="1"/>
      <sheetData sheetId="8106" refreshError="1"/>
      <sheetData sheetId="8107" refreshError="1"/>
      <sheetData sheetId="8108" refreshError="1"/>
      <sheetData sheetId="8109" refreshError="1"/>
      <sheetData sheetId="8110" refreshError="1"/>
      <sheetData sheetId="8111" refreshError="1"/>
      <sheetData sheetId="8112" refreshError="1"/>
      <sheetData sheetId="8113" refreshError="1"/>
      <sheetData sheetId="8114" refreshError="1"/>
      <sheetData sheetId="8115" refreshError="1"/>
      <sheetData sheetId="8116" refreshError="1"/>
      <sheetData sheetId="8117" refreshError="1"/>
      <sheetData sheetId="8118" refreshError="1"/>
      <sheetData sheetId="8119" refreshError="1"/>
      <sheetData sheetId="8120" refreshError="1"/>
      <sheetData sheetId="8121" refreshError="1"/>
      <sheetData sheetId="8122"/>
      <sheetData sheetId="8123" refreshError="1"/>
      <sheetData sheetId="8124" refreshError="1"/>
      <sheetData sheetId="8125" refreshError="1"/>
      <sheetData sheetId="8126" refreshError="1"/>
      <sheetData sheetId="8127" refreshError="1"/>
      <sheetData sheetId="8128" refreshError="1"/>
      <sheetData sheetId="8129" refreshError="1"/>
      <sheetData sheetId="8130" refreshError="1"/>
      <sheetData sheetId="8131" refreshError="1"/>
      <sheetData sheetId="8132" refreshError="1"/>
      <sheetData sheetId="8133" refreshError="1"/>
      <sheetData sheetId="8134" refreshError="1"/>
      <sheetData sheetId="8135" refreshError="1"/>
      <sheetData sheetId="8136" refreshError="1"/>
      <sheetData sheetId="8137" refreshError="1"/>
      <sheetData sheetId="8138" refreshError="1"/>
      <sheetData sheetId="8139" refreshError="1"/>
      <sheetData sheetId="8140" refreshError="1"/>
      <sheetData sheetId="8141" refreshError="1"/>
      <sheetData sheetId="8142" refreshError="1"/>
      <sheetData sheetId="8143" refreshError="1"/>
      <sheetData sheetId="8144" refreshError="1"/>
      <sheetData sheetId="8145"/>
      <sheetData sheetId="8146" refreshError="1"/>
      <sheetData sheetId="8147" refreshError="1"/>
      <sheetData sheetId="8148" refreshError="1"/>
      <sheetData sheetId="8149" refreshError="1"/>
      <sheetData sheetId="8150" refreshError="1"/>
      <sheetData sheetId="8151" refreshError="1"/>
      <sheetData sheetId="8152" refreshError="1"/>
      <sheetData sheetId="8153" refreshError="1"/>
      <sheetData sheetId="8154" refreshError="1"/>
      <sheetData sheetId="8155" refreshError="1"/>
      <sheetData sheetId="8156" refreshError="1"/>
      <sheetData sheetId="8157" refreshError="1"/>
      <sheetData sheetId="8158" refreshError="1"/>
      <sheetData sheetId="8159" refreshError="1"/>
      <sheetData sheetId="8160" refreshError="1"/>
      <sheetData sheetId="8161" refreshError="1"/>
      <sheetData sheetId="8162" refreshError="1"/>
      <sheetData sheetId="8163" refreshError="1"/>
      <sheetData sheetId="8164" refreshError="1"/>
      <sheetData sheetId="8165" refreshError="1"/>
      <sheetData sheetId="8166" refreshError="1"/>
      <sheetData sheetId="8167" refreshError="1"/>
      <sheetData sheetId="8168" refreshError="1"/>
      <sheetData sheetId="8169" refreshError="1"/>
      <sheetData sheetId="8170" refreshError="1"/>
      <sheetData sheetId="8171" refreshError="1"/>
      <sheetData sheetId="8172" refreshError="1"/>
      <sheetData sheetId="8173" refreshError="1"/>
      <sheetData sheetId="8174" refreshError="1"/>
      <sheetData sheetId="8175" refreshError="1"/>
      <sheetData sheetId="8176" refreshError="1"/>
      <sheetData sheetId="8177" refreshError="1"/>
      <sheetData sheetId="8178" refreshError="1"/>
      <sheetData sheetId="8179" refreshError="1"/>
      <sheetData sheetId="8180" refreshError="1"/>
      <sheetData sheetId="8181" refreshError="1"/>
      <sheetData sheetId="8182" refreshError="1"/>
      <sheetData sheetId="8183" refreshError="1"/>
      <sheetData sheetId="8184"/>
      <sheetData sheetId="8185"/>
      <sheetData sheetId="8186" refreshError="1"/>
      <sheetData sheetId="8187" refreshError="1"/>
      <sheetData sheetId="8188" refreshError="1"/>
      <sheetData sheetId="8189" refreshError="1"/>
      <sheetData sheetId="8190" refreshError="1"/>
      <sheetData sheetId="8191" refreshError="1"/>
      <sheetData sheetId="8192" refreshError="1"/>
      <sheetData sheetId="8193" refreshError="1"/>
      <sheetData sheetId="8194" refreshError="1"/>
      <sheetData sheetId="8195" refreshError="1"/>
      <sheetData sheetId="8196" refreshError="1"/>
      <sheetData sheetId="8197" refreshError="1"/>
      <sheetData sheetId="8198" refreshError="1"/>
      <sheetData sheetId="8199" refreshError="1"/>
      <sheetData sheetId="8200" refreshError="1"/>
      <sheetData sheetId="8201" refreshError="1"/>
      <sheetData sheetId="8202" refreshError="1"/>
      <sheetData sheetId="8203"/>
      <sheetData sheetId="8204" refreshError="1"/>
      <sheetData sheetId="8205" refreshError="1"/>
      <sheetData sheetId="8206" refreshError="1"/>
      <sheetData sheetId="8207" refreshError="1"/>
      <sheetData sheetId="8208" refreshError="1"/>
      <sheetData sheetId="8209" refreshError="1"/>
      <sheetData sheetId="8210" refreshError="1"/>
      <sheetData sheetId="8211" refreshError="1"/>
      <sheetData sheetId="8212" refreshError="1"/>
      <sheetData sheetId="8213" refreshError="1"/>
      <sheetData sheetId="8214" refreshError="1"/>
      <sheetData sheetId="8215" refreshError="1"/>
      <sheetData sheetId="8216" refreshError="1"/>
      <sheetData sheetId="8217" refreshError="1"/>
      <sheetData sheetId="8218" refreshError="1"/>
      <sheetData sheetId="8219" refreshError="1"/>
      <sheetData sheetId="8220" refreshError="1"/>
      <sheetData sheetId="8221" refreshError="1"/>
      <sheetData sheetId="8222" refreshError="1"/>
      <sheetData sheetId="8223" refreshError="1"/>
      <sheetData sheetId="8224" refreshError="1"/>
      <sheetData sheetId="8225" refreshError="1"/>
      <sheetData sheetId="8226" refreshError="1"/>
      <sheetData sheetId="8227" refreshError="1"/>
      <sheetData sheetId="8228" refreshError="1"/>
      <sheetData sheetId="8229" refreshError="1"/>
      <sheetData sheetId="8230" refreshError="1"/>
      <sheetData sheetId="8231"/>
      <sheetData sheetId="8232"/>
      <sheetData sheetId="8233" refreshError="1"/>
      <sheetData sheetId="8234" refreshError="1"/>
      <sheetData sheetId="8235" refreshError="1"/>
      <sheetData sheetId="8236" refreshError="1"/>
      <sheetData sheetId="8237" refreshError="1"/>
      <sheetData sheetId="8238" refreshError="1"/>
      <sheetData sheetId="8239" refreshError="1"/>
      <sheetData sheetId="8240" refreshError="1"/>
      <sheetData sheetId="8241" refreshError="1"/>
      <sheetData sheetId="8242"/>
      <sheetData sheetId="8243" refreshError="1"/>
      <sheetData sheetId="8244" refreshError="1"/>
      <sheetData sheetId="8245" refreshError="1"/>
      <sheetData sheetId="8246" refreshError="1"/>
      <sheetData sheetId="8247" refreshError="1"/>
      <sheetData sheetId="8248" refreshError="1"/>
      <sheetData sheetId="8249" refreshError="1"/>
      <sheetData sheetId="8250" refreshError="1"/>
      <sheetData sheetId="8251" refreshError="1"/>
      <sheetData sheetId="8252" refreshError="1"/>
      <sheetData sheetId="8253" refreshError="1"/>
      <sheetData sheetId="8254" refreshError="1"/>
      <sheetData sheetId="8255" refreshError="1"/>
      <sheetData sheetId="8256" refreshError="1"/>
      <sheetData sheetId="8257" refreshError="1"/>
      <sheetData sheetId="8258" refreshError="1"/>
      <sheetData sheetId="8259" refreshError="1"/>
      <sheetData sheetId="8260" refreshError="1"/>
      <sheetData sheetId="8261" refreshError="1"/>
      <sheetData sheetId="8262" refreshError="1"/>
      <sheetData sheetId="8263" refreshError="1"/>
      <sheetData sheetId="8264" refreshError="1"/>
      <sheetData sheetId="8265" refreshError="1"/>
      <sheetData sheetId="8266" refreshError="1"/>
      <sheetData sheetId="8267" refreshError="1"/>
      <sheetData sheetId="8268" refreshError="1"/>
      <sheetData sheetId="8269" refreshError="1"/>
      <sheetData sheetId="8270" refreshError="1"/>
      <sheetData sheetId="8271" refreshError="1"/>
      <sheetData sheetId="8272"/>
      <sheetData sheetId="8273"/>
      <sheetData sheetId="8274" refreshError="1"/>
      <sheetData sheetId="8275" refreshError="1"/>
      <sheetData sheetId="8276" refreshError="1"/>
      <sheetData sheetId="8277" refreshError="1"/>
      <sheetData sheetId="8278" refreshError="1"/>
      <sheetData sheetId="8279" refreshError="1"/>
      <sheetData sheetId="8280" refreshError="1"/>
      <sheetData sheetId="8281" refreshError="1"/>
      <sheetData sheetId="8282" refreshError="1"/>
      <sheetData sheetId="8283" refreshError="1"/>
      <sheetData sheetId="8284" refreshError="1"/>
      <sheetData sheetId="8285" refreshError="1"/>
      <sheetData sheetId="8286" refreshError="1"/>
      <sheetData sheetId="8287" refreshError="1"/>
      <sheetData sheetId="8288" refreshError="1"/>
      <sheetData sheetId="8289" refreshError="1"/>
      <sheetData sheetId="8290" refreshError="1"/>
      <sheetData sheetId="8291" refreshError="1"/>
      <sheetData sheetId="8292" refreshError="1"/>
      <sheetData sheetId="8293" refreshError="1"/>
      <sheetData sheetId="8294" refreshError="1"/>
      <sheetData sheetId="8295" refreshError="1"/>
      <sheetData sheetId="8296" refreshError="1"/>
      <sheetData sheetId="8297" refreshError="1"/>
      <sheetData sheetId="8298" refreshError="1"/>
      <sheetData sheetId="8299" refreshError="1"/>
      <sheetData sheetId="8300" refreshError="1"/>
      <sheetData sheetId="8301" refreshError="1"/>
      <sheetData sheetId="8302" refreshError="1"/>
      <sheetData sheetId="8303"/>
      <sheetData sheetId="8304"/>
      <sheetData sheetId="8305"/>
      <sheetData sheetId="8306"/>
      <sheetData sheetId="8307"/>
      <sheetData sheetId="8308"/>
      <sheetData sheetId="8309"/>
      <sheetData sheetId="8310"/>
      <sheetData sheetId="8311"/>
      <sheetData sheetId="8312"/>
      <sheetData sheetId="8313" refreshError="1"/>
      <sheetData sheetId="8314" refreshError="1"/>
      <sheetData sheetId="8315" refreshError="1"/>
      <sheetData sheetId="8316" refreshError="1"/>
      <sheetData sheetId="8317" refreshError="1"/>
      <sheetData sheetId="8318" refreshError="1"/>
      <sheetData sheetId="8319" refreshError="1"/>
      <sheetData sheetId="8320" refreshError="1"/>
      <sheetData sheetId="8321" refreshError="1"/>
      <sheetData sheetId="8322" refreshError="1"/>
      <sheetData sheetId="8323" refreshError="1"/>
      <sheetData sheetId="8324" refreshError="1"/>
      <sheetData sheetId="8325" refreshError="1"/>
      <sheetData sheetId="8326" refreshError="1"/>
      <sheetData sheetId="8327" refreshError="1"/>
      <sheetData sheetId="8328" refreshError="1"/>
      <sheetData sheetId="8329" refreshError="1"/>
      <sheetData sheetId="8330" refreshError="1"/>
      <sheetData sheetId="8331" refreshError="1"/>
      <sheetData sheetId="8332" refreshError="1"/>
      <sheetData sheetId="8333" refreshError="1"/>
      <sheetData sheetId="8334" refreshError="1"/>
      <sheetData sheetId="8335"/>
      <sheetData sheetId="8336"/>
      <sheetData sheetId="8337"/>
      <sheetData sheetId="8338"/>
      <sheetData sheetId="8339"/>
      <sheetData sheetId="8340"/>
      <sheetData sheetId="8341"/>
      <sheetData sheetId="8342"/>
      <sheetData sheetId="8343"/>
      <sheetData sheetId="8344"/>
      <sheetData sheetId="8345"/>
      <sheetData sheetId="8346"/>
      <sheetData sheetId="8347"/>
      <sheetData sheetId="8348"/>
      <sheetData sheetId="8349"/>
      <sheetData sheetId="8350"/>
      <sheetData sheetId="8351"/>
      <sheetData sheetId="8352"/>
      <sheetData sheetId="8353"/>
      <sheetData sheetId="8354"/>
      <sheetData sheetId="8355"/>
      <sheetData sheetId="8356"/>
      <sheetData sheetId="8357" refreshError="1"/>
      <sheetData sheetId="8358" refreshError="1"/>
      <sheetData sheetId="8359" refreshError="1"/>
      <sheetData sheetId="8360"/>
      <sheetData sheetId="8361" refreshError="1"/>
      <sheetData sheetId="8362" refreshError="1"/>
      <sheetData sheetId="8363" refreshError="1"/>
      <sheetData sheetId="8364" refreshError="1"/>
      <sheetData sheetId="8365" refreshError="1"/>
      <sheetData sheetId="8366" refreshError="1"/>
      <sheetData sheetId="8367" refreshError="1"/>
      <sheetData sheetId="8368" refreshError="1"/>
      <sheetData sheetId="8369" refreshError="1"/>
      <sheetData sheetId="8370" refreshError="1"/>
      <sheetData sheetId="8371" refreshError="1"/>
      <sheetData sheetId="8372" refreshError="1"/>
      <sheetData sheetId="8373" refreshError="1"/>
      <sheetData sheetId="8374" refreshError="1"/>
      <sheetData sheetId="8375"/>
      <sheetData sheetId="8376"/>
      <sheetData sheetId="8377"/>
      <sheetData sheetId="8378"/>
      <sheetData sheetId="8379"/>
      <sheetData sheetId="8380"/>
      <sheetData sheetId="8381"/>
      <sheetData sheetId="8382"/>
      <sheetData sheetId="8383"/>
      <sheetData sheetId="8384"/>
      <sheetData sheetId="8385"/>
      <sheetData sheetId="8386"/>
      <sheetData sheetId="8387" refreshError="1"/>
      <sheetData sheetId="8388" refreshError="1"/>
      <sheetData sheetId="8389" refreshError="1"/>
      <sheetData sheetId="8390" refreshError="1"/>
      <sheetData sheetId="8391"/>
      <sheetData sheetId="8392"/>
      <sheetData sheetId="8393"/>
      <sheetData sheetId="8394" refreshError="1"/>
      <sheetData sheetId="8395" refreshError="1"/>
      <sheetData sheetId="8396" refreshError="1"/>
      <sheetData sheetId="8397"/>
      <sheetData sheetId="8398"/>
      <sheetData sheetId="8399"/>
      <sheetData sheetId="8400"/>
      <sheetData sheetId="8401"/>
      <sheetData sheetId="8402"/>
      <sheetData sheetId="8403"/>
      <sheetData sheetId="8404"/>
      <sheetData sheetId="8405"/>
      <sheetData sheetId="8406"/>
      <sheetData sheetId="8407"/>
      <sheetData sheetId="8408"/>
      <sheetData sheetId="8409"/>
      <sheetData sheetId="8410"/>
      <sheetData sheetId="8411"/>
      <sheetData sheetId="8412"/>
      <sheetData sheetId="8413"/>
      <sheetData sheetId="8414"/>
      <sheetData sheetId="8415"/>
      <sheetData sheetId="8416"/>
      <sheetData sheetId="8417"/>
      <sheetData sheetId="8418"/>
      <sheetData sheetId="8419"/>
      <sheetData sheetId="8420"/>
      <sheetData sheetId="8421"/>
      <sheetData sheetId="8422"/>
      <sheetData sheetId="8423"/>
      <sheetData sheetId="8424"/>
      <sheetData sheetId="8425"/>
      <sheetData sheetId="8426"/>
      <sheetData sheetId="8427"/>
      <sheetData sheetId="8428"/>
      <sheetData sheetId="8429"/>
      <sheetData sheetId="8430"/>
      <sheetData sheetId="8431"/>
      <sheetData sheetId="8432"/>
      <sheetData sheetId="8433"/>
      <sheetData sheetId="8434"/>
      <sheetData sheetId="8435"/>
      <sheetData sheetId="8436"/>
      <sheetData sheetId="8437"/>
      <sheetData sheetId="8438"/>
      <sheetData sheetId="8439"/>
      <sheetData sheetId="8440"/>
      <sheetData sheetId="8441"/>
      <sheetData sheetId="8442"/>
      <sheetData sheetId="8443"/>
      <sheetData sheetId="8444"/>
      <sheetData sheetId="8445"/>
      <sheetData sheetId="8446"/>
      <sheetData sheetId="8447"/>
      <sheetData sheetId="8448"/>
      <sheetData sheetId="8449"/>
      <sheetData sheetId="8450"/>
      <sheetData sheetId="8451"/>
      <sheetData sheetId="8452"/>
      <sheetData sheetId="8453"/>
      <sheetData sheetId="8454"/>
      <sheetData sheetId="8455"/>
      <sheetData sheetId="8456"/>
      <sheetData sheetId="8457"/>
      <sheetData sheetId="8458"/>
      <sheetData sheetId="8459"/>
      <sheetData sheetId="8460"/>
      <sheetData sheetId="8461"/>
      <sheetData sheetId="8462"/>
      <sheetData sheetId="8463"/>
      <sheetData sheetId="8464"/>
      <sheetData sheetId="8465"/>
      <sheetData sheetId="8466"/>
      <sheetData sheetId="8467"/>
      <sheetData sheetId="8468"/>
      <sheetData sheetId="8469"/>
      <sheetData sheetId="8470"/>
      <sheetData sheetId="8471"/>
      <sheetData sheetId="8472"/>
      <sheetData sheetId="8473"/>
      <sheetData sheetId="8474"/>
      <sheetData sheetId="8475"/>
      <sheetData sheetId="8476"/>
      <sheetData sheetId="8477"/>
      <sheetData sheetId="8478"/>
      <sheetData sheetId="8479"/>
      <sheetData sheetId="8480"/>
      <sheetData sheetId="8481"/>
      <sheetData sheetId="8482"/>
      <sheetData sheetId="8483"/>
      <sheetData sheetId="8484"/>
      <sheetData sheetId="8485"/>
      <sheetData sheetId="8486"/>
      <sheetData sheetId="8487"/>
      <sheetData sheetId="8488"/>
      <sheetData sheetId="8489"/>
      <sheetData sheetId="8490"/>
      <sheetData sheetId="8491"/>
      <sheetData sheetId="8492"/>
      <sheetData sheetId="8493"/>
      <sheetData sheetId="8494"/>
      <sheetData sheetId="8495"/>
      <sheetData sheetId="8496"/>
      <sheetData sheetId="8497"/>
      <sheetData sheetId="8498"/>
      <sheetData sheetId="8499"/>
      <sheetData sheetId="8500"/>
      <sheetData sheetId="8501"/>
      <sheetData sheetId="8502"/>
      <sheetData sheetId="8503"/>
      <sheetData sheetId="8504"/>
      <sheetData sheetId="8505"/>
      <sheetData sheetId="8506"/>
      <sheetData sheetId="8507"/>
      <sheetData sheetId="8508"/>
      <sheetData sheetId="8509"/>
      <sheetData sheetId="8510"/>
      <sheetData sheetId="8511"/>
      <sheetData sheetId="8512"/>
      <sheetData sheetId="8513"/>
      <sheetData sheetId="8514"/>
      <sheetData sheetId="8515"/>
      <sheetData sheetId="8516"/>
      <sheetData sheetId="8517"/>
      <sheetData sheetId="8518"/>
      <sheetData sheetId="8519"/>
      <sheetData sheetId="8520"/>
      <sheetData sheetId="8521"/>
      <sheetData sheetId="8522"/>
      <sheetData sheetId="8523"/>
      <sheetData sheetId="8524"/>
      <sheetData sheetId="8525"/>
      <sheetData sheetId="8526"/>
      <sheetData sheetId="8527"/>
      <sheetData sheetId="8528"/>
      <sheetData sheetId="8529"/>
      <sheetData sheetId="8530"/>
      <sheetData sheetId="8531"/>
      <sheetData sheetId="8532"/>
      <sheetData sheetId="8533"/>
      <sheetData sheetId="8534"/>
      <sheetData sheetId="8535"/>
      <sheetData sheetId="8536"/>
      <sheetData sheetId="8537"/>
      <sheetData sheetId="8538"/>
      <sheetData sheetId="8539"/>
      <sheetData sheetId="8540"/>
      <sheetData sheetId="8541"/>
      <sheetData sheetId="8542"/>
      <sheetData sheetId="8543"/>
      <sheetData sheetId="8544"/>
      <sheetData sheetId="8545"/>
      <sheetData sheetId="8546"/>
      <sheetData sheetId="8547"/>
      <sheetData sheetId="8548"/>
      <sheetData sheetId="8549"/>
      <sheetData sheetId="8550"/>
      <sheetData sheetId="8551"/>
      <sheetData sheetId="8552"/>
      <sheetData sheetId="8553"/>
      <sheetData sheetId="8554"/>
      <sheetData sheetId="8555"/>
      <sheetData sheetId="8556"/>
      <sheetData sheetId="8557"/>
      <sheetData sheetId="8558"/>
      <sheetData sheetId="8559"/>
      <sheetData sheetId="8560"/>
      <sheetData sheetId="8561"/>
      <sheetData sheetId="8562"/>
      <sheetData sheetId="8563"/>
      <sheetData sheetId="8564"/>
      <sheetData sheetId="8565"/>
      <sheetData sheetId="8566"/>
      <sheetData sheetId="8567"/>
      <sheetData sheetId="8568"/>
      <sheetData sheetId="8569"/>
      <sheetData sheetId="8570"/>
      <sheetData sheetId="8571"/>
      <sheetData sheetId="8572"/>
      <sheetData sheetId="8573"/>
      <sheetData sheetId="8574"/>
      <sheetData sheetId="8575"/>
      <sheetData sheetId="8576"/>
      <sheetData sheetId="8577"/>
      <sheetData sheetId="8578"/>
      <sheetData sheetId="8579"/>
      <sheetData sheetId="8580"/>
      <sheetData sheetId="8581"/>
      <sheetData sheetId="8582"/>
      <sheetData sheetId="8583"/>
      <sheetData sheetId="8584"/>
      <sheetData sheetId="8585"/>
      <sheetData sheetId="8586"/>
      <sheetData sheetId="8587"/>
      <sheetData sheetId="8588"/>
      <sheetData sheetId="8589"/>
      <sheetData sheetId="8590"/>
      <sheetData sheetId="8591"/>
      <sheetData sheetId="8592"/>
      <sheetData sheetId="8593"/>
      <sheetData sheetId="8594"/>
      <sheetData sheetId="8595"/>
      <sheetData sheetId="8596"/>
      <sheetData sheetId="8597"/>
      <sheetData sheetId="8598"/>
      <sheetData sheetId="8599"/>
      <sheetData sheetId="8600"/>
      <sheetData sheetId="8601"/>
      <sheetData sheetId="8602"/>
      <sheetData sheetId="8603"/>
      <sheetData sheetId="8604"/>
      <sheetData sheetId="8605"/>
      <sheetData sheetId="8606"/>
      <sheetData sheetId="8607"/>
      <sheetData sheetId="8608"/>
      <sheetData sheetId="8609"/>
      <sheetData sheetId="8610"/>
      <sheetData sheetId="8611"/>
      <sheetData sheetId="8612"/>
      <sheetData sheetId="8613"/>
      <sheetData sheetId="8614"/>
      <sheetData sheetId="8615"/>
      <sheetData sheetId="8616"/>
      <sheetData sheetId="8617"/>
      <sheetData sheetId="8618"/>
      <sheetData sheetId="8619"/>
      <sheetData sheetId="8620"/>
      <sheetData sheetId="8621"/>
      <sheetData sheetId="8622"/>
      <sheetData sheetId="8623"/>
      <sheetData sheetId="8624"/>
      <sheetData sheetId="8625"/>
      <sheetData sheetId="8626"/>
      <sheetData sheetId="8627"/>
      <sheetData sheetId="8628"/>
      <sheetData sheetId="8629"/>
      <sheetData sheetId="8630"/>
      <sheetData sheetId="8631"/>
      <sheetData sheetId="8632"/>
      <sheetData sheetId="8633"/>
      <sheetData sheetId="8634"/>
      <sheetData sheetId="8635"/>
      <sheetData sheetId="8636"/>
      <sheetData sheetId="8637"/>
      <sheetData sheetId="8638"/>
      <sheetData sheetId="8639"/>
      <sheetData sheetId="8640"/>
      <sheetData sheetId="8641"/>
      <sheetData sheetId="8642"/>
      <sheetData sheetId="8643"/>
      <sheetData sheetId="8644"/>
      <sheetData sheetId="8645"/>
      <sheetData sheetId="8646"/>
      <sheetData sheetId="8647"/>
      <sheetData sheetId="8648"/>
      <sheetData sheetId="8649"/>
      <sheetData sheetId="8650"/>
      <sheetData sheetId="8651"/>
      <sheetData sheetId="8652"/>
      <sheetData sheetId="8653"/>
      <sheetData sheetId="8654"/>
      <sheetData sheetId="8655"/>
      <sheetData sheetId="8656"/>
      <sheetData sheetId="8657"/>
      <sheetData sheetId="8658"/>
      <sheetData sheetId="8659"/>
      <sheetData sheetId="8660"/>
      <sheetData sheetId="8661"/>
      <sheetData sheetId="8662"/>
      <sheetData sheetId="8663"/>
      <sheetData sheetId="8664"/>
      <sheetData sheetId="8665"/>
      <sheetData sheetId="8666"/>
      <sheetData sheetId="8667"/>
      <sheetData sheetId="8668"/>
      <sheetData sheetId="8669"/>
      <sheetData sheetId="8670"/>
      <sheetData sheetId="8671"/>
      <sheetData sheetId="8672"/>
      <sheetData sheetId="8673"/>
      <sheetData sheetId="8674"/>
      <sheetData sheetId="8675"/>
      <sheetData sheetId="8676"/>
      <sheetData sheetId="8677"/>
      <sheetData sheetId="8678"/>
      <sheetData sheetId="8679"/>
      <sheetData sheetId="8680"/>
      <sheetData sheetId="8681"/>
      <sheetData sheetId="8682"/>
      <sheetData sheetId="8683"/>
      <sheetData sheetId="8684"/>
      <sheetData sheetId="8685"/>
      <sheetData sheetId="8686"/>
      <sheetData sheetId="8687"/>
      <sheetData sheetId="8688"/>
      <sheetData sheetId="8689"/>
      <sheetData sheetId="8690"/>
      <sheetData sheetId="8691"/>
      <sheetData sheetId="8692"/>
      <sheetData sheetId="8693"/>
      <sheetData sheetId="8694"/>
      <sheetData sheetId="8695"/>
      <sheetData sheetId="8696"/>
      <sheetData sheetId="8697"/>
      <sheetData sheetId="8698"/>
      <sheetData sheetId="8699"/>
      <sheetData sheetId="8700"/>
      <sheetData sheetId="8701"/>
      <sheetData sheetId="8702"/>
      <sheetData sheetId="8703"/>
      <sheetData sheetId="8704"/>
      <sheetData sheetId="8705"/>
      <sheetData sheetId="8706"/>
      <sheetData sheetId="8707"/>
      <sheetData sheetId="8708"/>
      <sheetData sheetId="8709"/>
      <sheetData sheetId="8710"/>
      <sheetData sheetId="8711"/>
      <sheetData sheetId="8712"/>
      <sheetData sheetId="8713"/>
      <sheetData sheetId="8714"/>
      <sheetData sheetId="8715"/>
      <sheetData sheetId="8716"/>
      <sheetData sheetId="8717"/>
      <sheetData sheetId="8718"/>
      <sheetData sheetId="8719"/>
      <sheetData sheetId="8720"/>
      <sheetData sheetId="8721"/>
      <sheetData sheetId="8722"/>
      <sheetData sheetId="8723"/>
      <sheetData sheetId="8724"/>
      <sheetData sheetId="8725"/>
      <sheetData sheetId="8726"/>
      <sheetData sheetId="8727"/>
      <sheetData sheetId="8728"/>
      <sheetData sheetId="8729"/>
      <sheetData sheetId="8730"/>
      <sheetData sheetId="8731"/>
      <sheetData sheetId="8732"/>
      <sheetData sheetId="8733"/>
      <sheetData sheetId="8734"/>
      <sheetData sheetId="8735"/>
      <sheetData sheetId="8736"/>
      <sheetData sheetId="8737"/>
      <sheetData sheetId="8738"/>
      <sheetData sheetId="8739"/>
      <sheetData sheetId="8740"/>
      <sheetData sheetId="8741"/>
      <sheetData sheetId="8742"/>
      <sheetData sheetId="8743"/>
      <sheetData sheetId="8744"/>
      <sheetData sheetId="8745"/>
      <sheetData sheetId="8746"/>
      <sheetData sheetId="8747"/>
      <sheetData sheetId="8748"/>
      <sheetData sheetId="8749"/>
      <sheetData sheetId="8750"/>
      <sheetData sheetId="8751"/>
      <sheetData sheetId="8752"/>
      <sheetData sheetId="8753"/>
      <sheetData sheetId="8754"/>
      <sheetData sheetId="8755"/>
      <sheetData sheetId="8756"/>
      <sheetData sheetId="8757"/>
      <sheetData sheetId="8758"/>
      <sheetData sheetId="8759"/>
      <sheetData sheetId="8760"/>
      <sheetData sheetId="8761"/>
      <sheetData sheetId="8762"/>
      <sheetData sheetId="8763"/>
      <sheetData sheetId="8764"/>
      <sheetData sheetId="8765"/>
      <sheetData sheetId="8766"/>
      <sheetData sheetId="8767"/>
      <sheetData sheetId="8768"/>
      <sheetData sheetId="8769"/>
      <sheetData sheetId="8770"/>
      <sheetData sheetId="8771"/>
      <sheetData sheetId="8772"/>
      <sheetData sheetId="8773"/>
      <sheetData sheetId="8774"/>
      <sheetData sheetId="8775"/>
      <sheetData sheetId="8776"/>
      <sheetData sheetId="8777"/>
      <sheetData sheetId="8778"/>
      <sheetData sheetId="8779"/>
      <sheetData sheetId="8780"/>
      <sheetData sheetId="8781"/>
      <sheetData sheetId="8782"/>
      <sheetData sheetId="8783"/>
      <sheetData sheetId="8784"/>
      <sheetData sheetId="8785"/>
      <sheetData sheetId="8786"/>
      <sheetData sheetId="8787"/>
      <sheetData sheetId="8788"/>
      <sheetData sheetId="8789"/>
      <sheetData sheetId="8790"/>
      <sheetData sheetId="8791"/>
      <sheetData sheetId="8792"/>
      <sheetData sheetId="8793"/>
      <sheetData sheetId="8794"/>
      <sheetData sheetId="8795"/>
      <sheetData sheetId="8796"/>
      <sheetData sheetId="8797"/>
      <sheetData sheetId="8798"/>
      <sheetData sheetId="8799"/>
      <sheetData sheetId="8800"/>
      <sheetData sheetId="8801"/>
      <sheetData sheetId="8802"/>
      <sheetData sheetId="8803"/>
      <sheetData sheetId="8804"/>
      <sheetData sheetId="8805"/>
      <sheetData sheetId="8806"/>
      <sheetData sheetId="8807"/>
      <sheetData sheetId="8808"/>
      <sheetData sheetId="8809"/>
      <sheetData sheetId="8810"/>
      <sheetData sheetId="8811"/>
      <sheetData sheetId="8812"/>
      <sheetData sheetId="8813"/>
      <sheetData sheetId="8814"/>
      <sheetData sheetId="8815"/>
      <sheetData sheetId="8816"/>
      <sheetData sheetId="8817"/>
      <sheetData sheetId="8818"/>
      <sheetData sheetId="8819"/>
      <sheetData sheetId="8820"/>
      <sheetData sheetId="8821"/>
      <sheetData sheetId="8822"/>
      <sheetData sheetId="8823"/>
      <sheetData sheetId="8824"/>
      <sheetData sheetId="8825"/>
      <sheetData sheetId="8826"/>
      <sheetData sheetId="8827"/>
      <sheetData sheetId="8828"/>
      <sheetData sheetId="8829"/>
      <sheetData sheetId="8830"/>
      <sheetData sheetId="8831"/>
      <sheetData sheetId="8832"/>
      <sheetData sheetId="8833"/>
      <sheetData sheetId="8834"/>
      <sheetData sheetId="8835"/>
      <sheetData sheetId="8836"/>
      <sheetData sheetId="8837"/>
      <sheetData sheetId="8838"/>
      <sheetData sheetId="8839"/>
      <sheetData sheetId="8840"/>
      <sheetData sheetId="8841"/>
      <sheetData sheetId="8842"/>
      <sheetData sheetId="8843"/>
      <sheetData sheetId="8844"/>
      <sheetData sheetId="8845"/>
      <sheetData sheetId="8846"/>
      <sheetData sheetId="8847"/>
      <sheetData sheetId="8848"/>
      <sheetData sheetId="8849"/>
      <sheetData sheetId="8850"/>
      <sheetData sheetId="8851"/>
      <sheetData sheetId="8852"/>
      <sheetData sheetId="8853"/>
      <sheetData sheetId="8854"/>
      <sheetData sheetId="8855"/>
      <sheetData sheetId="8856"/>
      <sheetData sheetId="8857"/>
      <sheetData sheetId="8858"/>
      <sheetData sheetId="8859"/>
      <sheetData sheetId="8860"/>
      <sheetData sheetId="8861"/>
      <sheetData sheetId="8862"/>
      <sheetData sheetId="8863"/>
      <sheetData sheetId="8864"/>
      <sheetData sheetId="8865"/>
      <sheetData sheetId="8866"/>
      <sheetData sheetId="8867"/>
      <sheetData sheetId="8868"/>
      <sheetData sheetId="8869"/>
      <sheetData sheetId="8870"/>
      <sheetData sheetId="8871"/>
      <sheetData sheetId="8872"/>
      <sheetData sheetId="8873"/>
      <sheetData sheetId="8874"/>
      <sheetData sheetId="8875"/>
      <sheetData sheetId="8876"/>
      <sheetData sheetId="8877"/>
      <sheetData sheetId="8878"/>
      <sheetData sheetId="8879"/>
      <sheetData sheetId="8880"/>
      <sheetData sheetId="8881"/>
      <sheetData sheetId="8882"/>
      <sheetData sheetId="8883"/>
      <sheetData sheetId="8884"/>
      <sheetData sheetId="8885"/>
      <sheetData sheetId="8886"/>
      <sheetData sheetId="8887"/>
      <sheetData sheetId="8888"/>
      <sheetData sheetId="8889"/>
      <sheetData sheetId="8890"/>
      <sheetData sheetId="8891"/>
      <sheetData sheetId="8892"/>
      <sheetData sheetId="8893"/>
      <sheetData sheetId="8894"/>
      <sheetData sheetId="8895"/>
      <sheetData sheetId="8896"/>
      <sheetData sheetId="8897"/>
      <sheetData sheetId="8898"/>
      <sheetData sheetId="8899"/>
      <sheetData sheetId="8900"/>
      <sheetData sheetId="8901"/>
      <sheetData sheetId="8902"/>
      <sheetData sheetId="8903"/>
      <sheetData sheetId="8904"/>
      <sheetData sheetId="8905"/>
      <sheetData sheetId="8906"/>
      <sheetData sheetId="8907"/>
      <sheetData sheetId="8908"/>
      <sheetData sheetId="8909"/>
      <sheetData sheetId="8910"/>
      <sheetData sheetId="8911"/>
      <sheetData sheetId="8912"/>
      <sheetData sheetId="8913"/>
      <sheetData sheetId="8914" refreshError="1"/>
      <sheetData sheetId="8915" refreshError="1"/>
      <sheetData sheetId="8916" refreshError="1"/>
      <sheetData sheetId="8917" refreshError="1"/>
      <sheetData sheetId="8918" refreshError="1"/>
      <sheetData sheetId="8919" refreshError="1"/>
      <sheetData sheetId="8920" refreshError="1"/>
      <sheetData sheetId="8921" refreshError="1"/>
      <sheetData sheetId="8922" refreshError="1"/>
      <sheetData sheetId="8923" refreshError="1"/>
      <sheetData sheetId="8924" refreshError="1"/>
      <sheetData sheetId="8925" refreshError="1"/>
      <sheetData sheetId="8926" refreshError="1"/>
      <sheetData sheetId="8927" refreshError="1"/>
      <sheetData sheetId="8928" refreshError="1"/>
      <sheetData sheetId="8929" refreshError="1"/>
      <sheetData sheetId="8930" refreshError="1"/>
      <sheetData sheetId="8931" refreshError="1"/>
      <sheetData sheetId="8932" refreshError="1"/>
      <sheetData sheetId="8933" refreshError="1"/>
      <sheetData sheetId="8934" refreshError="1"/>
      <sheetData sheetId="8935" refreshError="1"/>
      <sheetData sheetId="8936" refreshError="1"/>
      <sheetData sheetId="8937" refreshError="1"/>
      <sheetData sheetId="8938" refreshError="1"/>
      <sheetData sheetId="8939" refreshError="1"/>
      <sheetData sheetId="8940" refreshError="1"/>
      <sheetData sheetId="8941" refreshError="1"/>
      <sheetData sheetId="8942" refreshError="1"/>
      <sheetData sheetId="8943" refreshError="1"/>
      <sheetData sheetId="8944" refreshError="1"/>
      <sheetData sheetId="8945" refreshError="1"/>
      <sheetData sheetId="8946" refreshError="1"/>
      <sheetData sheetId="8947" refreshError="1"/>
      <sheetData sheetId="8948" refreshError="1"/>
      <sheetData sheetId="8949" refreshError="1"/>
      <sheetData sheetId="8950" refreshError="1"/>
      <sheetData sheetId="8951" refreshError="1"/>
      <sheetData sheetId="8952" refreshError="1"/>
      <sheetData sheetId="8953" refreshError="1"/>
      <sheetData sheetId="8954" refreshError="1"/>
      <sheetData sheetId="8955" refreshError="1"/>
      <sheetData sheetId="8956" refreshError="1"/>
      <sheetData sheetId="8957" refreshError="1"/>
      <sheetData sheetId="8958" refreshError="1"/>
      <sheetData sheetId="8959" refreshError="1"/>
      <sheetData sheetId="8960" refreshError="1"/>
      <sheetData sheetId="8961" refreshError="1"/>
      <sheetData sheetId="8962" refreshError="1"/>
      <sheetData sheetId="8963" refreshError="1"/>
      <sheetData sheetId="8964" refreshError="1"/>
      <sheetData sheetId="8965" refreshError="1"/>
      <sheetData sheetId="8966" refreshError="1"/>
      <sheetData sheetId="8967" refreshError="1"/>
      <sheetData sheetId="8968" refreshError="1"/>
      <sheetData sheetId="8969" refreshError="1"/>
      <sheetData sheetId="8970" refreshError="1"/>
      <sheetData sheetId="8971" refreshError="1"/>
      <sheetData sheetId="8972" refreshError="1"/>
      <sheetData sheetId="8973" refreshError="1"/>
      <sheetData sheetId="8974" refreshError="1"/>
      <sheetData sheetId="8975" refreshError="1"/>
      <sheetData sheetId="8976" refreshError="1"/>
      <sheetData sheetId="8977" refreshError="1"/>
      <sheetData sheetId="8978" refreshError="1"/>
      <sheetData sheetId="8979" refreshError="1"/>
      <sheetData sheetId="8980" refreshError="1"/>
      <sheetData sheetId="8981" refreshError="1"/>
      <sheetData sheetId="8982" refreshError="1"/>
      <sheetData sheetId="8983" refreshError="1"/>
      <sheetData sheetId="8984" refreshError="1"/>
      <sheetData sheetId="8985" refreshError="1"/>
      <sheetData sheetId="8986" refreshError="1"/>
      <sheetData sheetId="8987" refreshError="1"/>
      <sheetData sheetId="8988" refreshError="1"/>
      <sheetData sheetId="8989" refreshError="1"/>
      <sheetData sheetId="8990" refreshError="1"/>
      <sheetData sheetId="8991" refreshError="1"/>
      <sheetData sheetId="8992" refreshError="1"/>
      <sheetData sheetId="8993" refreshError="1"/>
      <sheetData sheetId="8994" refreshError="1"/>
      <sheetData sheetId="8995" refreshError="1"/>
      <sheetData sheetId="8996" refreshError="1"/>
      <sheetData sheetId="8997" refreshError="1"/>
      <sheetData sheetId="8998" refreshError="1"/>
      <sheetData sheetId="8999" refreshError="1"/>
      <sheetData sheetId="9000" refreshError="1"/>
      <sheetData sheetId="9001" refreshError="1"/>
      <sheetData sheetId="9002" refreshError="1"/>
      <sheetData sheetId="9003" refreshError="1"/>
      <sheetData sheetId="9004" refreshError="1"/>
      <sheetData sheetId="9005" refreshError="1"/>
      <sheetData sheetId="9006" refreshError="1"/>
      <sheetData sheetId="9007" refreshError="1"/>
      <sheetData sheetId="9008" refreshError="1"/>
      <sheetData sheetId="9009" refreshError="1"/>
      <sheetData sheetId="9010" refreshError="1"/>
      <sheetData sheetId="9011" refreshError="1"/>
      <sheetData sheetId="9012" refreshError="1"/>
      <sheetData sheetId="9013" refreshError="1"/>
      <sheetData sheetId="9014" refreshError="1"/>
      <sheetData sheetId="9015" refreshError="1"/>
      <sheetData sheetId="9016" refreshError="1"/>
      <sheetData sheetId="9017" refreshError="1"/>
      <sheetData sheetId="9018" refreshError="1"/>
      <sheetData sheetId="9019" refreshError="1"/>
      <sheetData sheetId="9020" refreshError="1"/>
      <sheetData sheetId="9021" refreshError="1"/>
      <sheetData sheetId="9022" refreshError="1"/>
      <sheetData sheetId="9023" refreshError="1"/>
      <sheetData sheetId="9024" refreshError="1"/>
      <sheetData sheetId="9025" refreshError="1"/>
      <sheetData sheetId="9026" refreshError="1"/>
      <sheetData sheetId="9027" refreshError="1"/>
      <sheetData sheetId="9028" refreshError="1"/>
      <sheetData sheetId="9029" refreshError="1"/>
      <sheetData sheetId="9030" refreshError="1"/>
      <sheetData sheetId="9031" refreshError="1"/>
      <sheetData sheetId="9032" refreshError="1"/>
      <sheetData sheetId="9033" refreshError="1"/>
      <sheetData sheetId="9034" refreshError="1"/>
      <sheetData sheetId="9035" refreshError="1"/>
      <sheetData sheetId="9036" refreshError="1"/>
      <sheetData sheetId="9037" refreshError="1"/>
      <sheetData sheetId="9038" refreshError="1"/>
      <sheetData sheetId="9039" refreshError="1"/>
      <sheetData sheetId="9040" refreshError="1"/>
      <sheetData sheetId="9041" refreshError="1"/>
      <sheetData sheetId="9042"/>
      <sheetData sheetId="9043"/>
      <sheetData sheetId="9044"/>
      <sheetData sheetId="9045"/>
      <sheetData sheetId="9046"/>
      <sheetData sheetId="9047"/>
      <sheetData sheetId="9048"/>
      <sheetData sheetId="9049"/>
      <sheetData sheetId="9050"/>
      <sheetData sheetId="9051"/>
      <sheetData sheetId="9052"/>
      <sheetData sheetId="9053"/>
      <sheetData sheetId="9054"/>
      <sheetData sheetId="9055"/>
      <sheetData sheetId="9056"/>
      <sheetData sheetId="9057"/>
      <sheetData sheetId="9058"/>
      <sheetData sheetId="9059"/>
      <sheetData sheetId="9060"/>
      <sheetData sheetId="9061"/>
      <sheetData sheetId="9062"/>
      <sheetData sheetId="9063"/>
      <sheetData sheetId="9064"/>
      <sheetData sheetId="9065"/>
      <sheetData sheetId="9066"/>
      <sheetData sheetId="9067"/>
      <sheetData sheetId="9068"/>
      <sheetData sheetId="9069"/>
      <sheetData sheetId="9070"/>
      <sheetData sheetId="9071"/>
      <sheetData sheetId="9072"/>
      <sheetData sheetId="9073"/>
      <sheetData sheetId="9074"/>
      <sheetData sheetId="9075"/>
      <sheetData sheetId="9076"/>
      <sheetData sheetId="9077"/>
      <sheetData sheetId="9078"/>
      <sheetData sheetId="9079"/>
      <sheetData sheetId="9080"/>
      <sheetData sheetId="9081"/>
      <sheetData sheetId="9082"/>
      <sheetData sheetId="9083"/>
      <sheetData sheetId="9084"/>
      <sheetData sheetId="9085"/>
      <sheetData sheetId="9086"/>
      <sheetData sheetId="9087"/>
      <sheetData sheetId="9088"/>
      <sheetData sheetId="9089"/>
      <sheetData sheetId="9090"/>
      <sheetData sheetId="9091"/>
      <sheetData sheetId="9092"/>
      <sheetData sheetId="9093"/>
      <sheetData sheetId="9094"/>
      <sheetData sheetId="9095"/>
      <sheetData sheetId="9096"/>
      <sheetData sheetId="9097"/>
      <sheetData sheetId="9098"/>
      <sheetData sheetId="9099"/>
      <sheetData sheetId="9100"/>
      <sheetData sheetId="9101"/>
      <sheetData sheetId="9102"/>
      <sheetData sheetId="9103"/>
      <sheetData sheetId="9104"/>
      <sheetData sheetId="9105"/>
      <sheetData sheetId="9106"/>
      <sheetData sheetId="9107"/>
      <sheetData sheetId="9108"/>
      <sheetData sheetId="9109"/>
      <sheetData sheetId="9110"/>
      <sheetData sheetId="9111"/>
      <sheetData sheetId="9112"/>
      <sheetData sheetId="9113"/>
      <sheetData sheetId="9114"/>
      <sheetData sheetId="9115"/>
      <sheetData sheetId="9116"/>
      <sheetData sheetId="9117"/>
      <sheetData sheetId="9118"/>
      <sheetData sheetId="9119"/>
      <sheetData sheetId="9120"/>
      <sheetData sheetId="9121"/>
      <sheetData sheetId="9122"/>
      <sheetData sheetId="9123"/>
      <sheetData sheetId="9124"/>
      <sheetData sheetId="9125"/>
      <sheetData sheetId="9126"/>
      <sheetData sheetId="9127"/>
      <sheetData sheetId="9128"/>
      <sheetData sheetId="9129"/>
      <sheetData sheetId="9130"/>
      <sheetData sheetId="9131"/>
      <sheetData sheetId="9132"/>
      <sheetData sheetId="9133"/>
      <sheetData sheetId="9134"/>
      <sheetData sheetId="9135"/>
      <sheetData sheetId="9136"/>
      <sheetData sheetId="9137"/>
      <sheetData sheetId="9138"/>
      <sheetData sheetId="9139"/>
      <sheetData sheetId="9140"/>
      <sheetData sheetId="9141"/>
      <sheetData sheetId="9142"/>
      <sheetData sheetId="9143"/>
      <sheetData sheetId="9144"/>
      <sheetData sheetId="9145"/>
      <sheetData sheetId="9146"/>
      <sheetData sheetId="9147"/>
      <sheetData sheetId="9148"/>
      <sheetData sheetId="9149"/>
      <sheetData sheetId="9150"/>
      <sheetData sheetId="9151"/>
      <sheetData sheetId="9152"/>
      <sheetData sheetId="9153"/>
      <sheetData sheetId="9154"/>
      <sheetData sheetId="9155"/>
      <sheetData sheetId="9156"/>
      <sheetData sheetId="9157"/>
      <sheetData sheetId="9158"/>
      <sheetData sheetId="9159"/>
      <sheetData sheetId="9160"/>
      <sheetData sheetId="9161"/>
      <sheetData sheetId="9162"/>
      <sheetData sheetId="9163"/>
      <sheetData sheetId="9164"/>
      <sheetData sheetId="9165"/>
      <sheetData sheetId="9166"/>
      <sheetData sheetId="9167"/>
      <sheetData sheetId="9168"/>
      <sheetData sheetId="9169"/>
      <sheetData sheetId="9170"/>
      <sheetData sheetId="9171"/>
      <sheetData sheetId="9172"/>
      <sheetData sheetId="9173"/>
      <sheetData sheetId="9174"/>
      <sheetData sheetId="9175"/>
      <sheetData sheetId="9176"/>
      <sheetData sheetId="9177"/>
      <sheetData sheetId="9178"/>
      <sheetData sheetId="9179"/>
      <sheetData sheetId="9180"/>
      <sheetData sheetId="9181"/>
      <sheetData sheetId="9182"/>
      <sheetData sheetId="9183"/>
      <sheetData sheetId="9184"/>
      <sheetData sheetId="9185"/>
      <sheetData sheetId="9186"/>
      <sheetData sheetId="9187"/>
      <sheetData sheetId="9188"/>
      <sheetData sheetId="9189"/>
      <sheetData sheetId="9190"/>
      <sheetData sheetId="9191"/>
      <sheetData sheetId="9192"/>
      <sheetData sheetId="9193"/>
      <sheetData sheetId="9194"/>
      <sheetData sheetId="9195"/>
      <sheetData sheetId="9196"/>
      <sheetData sheetId="9197"/>
      <sheetData sheetId="9198"/>
      <sheetData sheetId="9199"/>
      <sheetData sheetId="9200"/>
      <sheetData sheetId="9201"/>
      <sheetData sheetId="9202"/>
      <sheetData sheetId="9203"/>
      <sheetData sheetId="9204"/>
      <sheetData sheetId="9205"/>
      <sheetData sheetId="9206"/>
      <sheetData sheetId="9207"/>
      <sheetData sheetId="9208"/>
      <sheetData sheetId="9209"/>
      <sheetData sheetId="9210"/>
      <sheetData sheetId="9211"/>
      <sheetData sheetId="9212"/>
      <sheetData sheetId="9213"/>
      <sheetData sheetId="9214"/>
      <sheetData sheetId="9215"/>
      <sheetData sheetId="9216"/>
      <sheetData sheetId="9217"/>
      <sheetData sheetId="9218"/>
      <sheetData sheetId="9219"/>
      <sheetData sheetId="9220"/>
      <sheetData sheetId="9221"/>
      <sheetData sheetId="9222"/>
      <sheetData sheetId="9223"/>
      <sheetData sheetId="9224"/>
      <sheetData sheetId="9225"/>
      <sheetData sheetId="9226"/>
      <sheetData sheetId="9227"/>
      <sheetData sheetId="9228"/>
      <sheetData sheetId="9229"/>
      <sheetData sheetId="9230"/>
      <sheetData sheetId="9231"/>
      <sheetData sheetId="9232"/>
      <sheetData sheetId="9233"/>
      <sheetData sheetId="9234"/>
      <sheetData sheetId="9235"/>
      <sheetData sheetId="9236"/>
      <sheetData sheetId="9237"/>
      <sheetData sheetId="9238"/>
      <sheetData sheetId="9239"/>
      <sheetData sheetId="9240"/>
      <sheetData sheetId="9241"/>
      <sheetData sheetId="9242"/>
      <sheetData sheetId="9243"/>
      <sheetData sheetId="9244"/>
      <sheetData sheetId="9245"/>
      <sheetData sheetId="9246"/>
      <sheetData sheetId="9247"/>
      <sheetData sheetId="9248"/>
      <sheetData sheetId="9249"/>
      <sheetData sheetId="9250"/>
      <sheetData sheetId="9251"/>
      <sheetData sheetId="9252"/>
      <sheetData sheetId="9253"/>
      <sheetData sheetId="9254"/>
      <sheetData sheetId="9255"/>
      <sheetData sheetId="9256"/>
      <sheetData sheetId="9257"/>
      <sheetData sheetId="9258"/>
      <sheetData sheetId="9259"/>
      <sheetData sheetId="9260"/>
      <sheetData sheetId="9261"/>
      <sheetData sheetId="9262"/>
      <sheetData sheetId="9263"/>
      <sheetData sheetId="9264"/>
      <sheetData sheetId="9265"/>
      <sheetData sheetId="9266"/>
      <sheetData sheetId="9267"/>
      <sheetData sheetId="9268"/>
      <sheetData sheetId="9269"/>
      <sheetData sheetId="9270"/>
      <sheetData sheetId="9271"/>
      <sheetData sheetId="9272"/>
      <sheetData sheetId="9273"/>
      <sheetData sheetId="9274"/>
      <sheetData sheetId="9275"/>
      <sheetData sheetId="9276"/>
      <sheetData sheetId="9277"/>
      <sheetData sheetId="9278"/>
      <sheetData sheetId="9279"/>
      <sheetData sheetId="9280"/>
      <sheetData sheetId="9281"/>
      <sheetData sheetId="9282"/>
      <sheetData sheetId="9283"/>
      <sheetData sheetId="9284"/>
      <sheetData sheetId="9285"/>
      <sheetData sheetId="9286"/>
      <sheetData sheetId="9287"/>
      <sheetData sheetId="9288"/>
      <sheetData sheetId="9289"/>
      <sheetData sheetId="9290"/>
      <sheetData sheetId="9291"/>
      <sheetData sheetId="9292"/>
      <sheetData sheetId="9293"/>
      <sheetData sheetId="9294"/>
      <sheetData sheetId="9295"/>
      <sheetData sheetId="9296"/>
      <sheetData sheetId="9297"/>
      <sheetData sheetId="9298"/>
      <sheetData sheetId="9299"/>
      <sheetData sheetId="9300"/>
      <sheetData sheetId="9301"/>
      <sheetData sheetId="9302"/>
      <sheetData sheetId="9303"/>
      <sheetData sheetId="9304"/>
      <sheetData sheetId="9305"/>
      <sheetData sheetId="9306"/>
      <sheetData sheetId="9307"/>
      <sheetData sheetId="9308"/>
      <sheetData sheetId="9309"/>
      <sheetData sheetId="9310"/>
      <sheetData sheetId="9311"/>
      <sheetData sheetId="9312"/>
      <sheetData sheetId="9313"/>
      <sheetData sheetId="9314"/>
      <sheetData sheetId="9315"/>
      <sheetData sheetId="9316"/>
      <sheetData sheetId="9317"/>
      <sheetData sheetId="9318"/>
      <sheetData sheetId="9319"/>
      <sheetData sheetId="9320"/>
      <sheetData sheetId="9321"/>
      <sheetData sheetId="9322"/>
      <sheetData sheetId="9323"/>
      <sheetData sheetId="9324"/>
      <sheetData sheetId="9325"/>
      <sheetData sheetId="9326"/>
      <sheetData sheetId="9327"/>
      <sheetData sheetId="9328"/>
      <sheetData sheetId="9329"/>
      <sheetData sheetId="9330"/>
      <sheetData sheetId="9331"/>
      <sheetData sheetId="9332"/>
      <sheetData sheetId="9333"/>
      <sheetData sheetId="9334"/>
      <sheetData sheetId="9335"/>
      <sheetData sheetId="9336"/>
      <sheetData sheetId="9337"/>
      <sheetData sheetId="9338"/>
      <sheetData sheetId="9339"/>
      <sheetData sheetId="9340"/>
      <sheetData sheetId="9341"/>
      <sheetData sheetId="9342"/>
      <sheetData sheetId="9343"/>
      <sheetData sheetId="9344"/>
      <sheetData sheetId="9345"/>
      <sheetData sheetId="9346"/>
      <sheetData sheetId="9347"/>
      <sheetData sheetId="9348"/>
      <sheetData sheetId="9349"/>
      <sheetData sheetId="9350"/>
      <sheetData sheetId="9351"/>
      <sheetData sheetId="9352"/>
      <sheetData sheetId="9353"/>
      <sheetData sheetId="9354"/>
      <sheetData sheetId="9355"/>
      <sheetData sheetId="9356"/>
      <sheetData sheetId="9357"/>
      <sheetData sheetId="9358"/>
      <sheetData sheetId="9359"/>
      <sheetData sheetId="9360"/>
      <sheetData sheetId="9361"/>
      <sheetData sheetId="9362"/>
      <sheetData sheetId="9363"/>
      <sheetData sheetId="9364"/>
      <sheetData sheetId="9365"/>
      <sheetData sheetId="9366"/>
      <sheetData sheetId="9367"/>
      <sheetData sheetId="9368"/>
      <sheetData sheetId="9369"/>
      <sheetData sheetId="9370"/>
      <sheetData sheetId="9371"/>
      <sheetData sheetId="9372"/>
      <sheetData sheetId="9373"/>
      <sheetData sheetId="9374"/>
      <sheetData sheetId="9375"/>
      <sheetData sheetId="9376"/>
      <sheetData sheetId="9377"/>
      <sheetData sheetId="9378"/>
      <sheetData sheetId="9379"/>
      <sheetData sheetId="9380"/>
      <sheetData sheetId="9381"/>
      <sheetData sheetId="9382"/>
      <sheetData sheetId="9383"/>
      <sheetData sheetId="9384"/>
      <sheetData sheetId="9385"/>
      <sheetData sheetId="9386"/>
      <sheetData sheetId="9387"/>
      <sheetData sheetId="9388"/>
      <sheetData sheetId="9389"/>
      <sheetData sheetId="9390"/>
      <sheetData sheetId="9391"/>
      <sheetData sheetId="9392"/>
      <sheetData sheetId="9393"/>
      <sheetData sheetId="9394"/>
      <sheetData sheetId="9395"/>
      <sheetData sheetId="9396"/>
      <sheetData sheetId="9397"/>
      <sheetData sheetId="9398"/>
      <sheetData sheetId="9399"/>
      <sheetData sheetId="9400"/>
      <sheetData sheetId="9401"/>
      <sheetData sheetId="9402"/>
      <sheetData sheetId="9403"/>
      <sheetData sheetId="9404"/>
      <sheetData sheetId="9405"/>
      <sheetData sheetId="9406"/>
      <sheetData sheetId="9407"/>
      <sheetData sheetId="9408"/>
      <sheetData sheetId="9409"/>
      <sheetData sheetId="9410"/>
      <sheetData sheetId="9411"/>
      <sheetData sheetId="9412"/>
      <sheetData sheetId="9413"/>
      <sheetData sheetId="9414"/>
      <sheetData sheetId="9415"/>
      <sheetData sheetId="9416"/>
      <sheetData sheetId="9417"/>
      <sheetData sheetId="9418"/>
      <sheetData sheetId="9419"/>
      <sheetData sheetId="9420"/>
      <sheetData sheetId="9421"/>
      <sheetData sheetId="9422"/>
      <sheetData sheetId="9423"/>
      <sheetData sheetId="9424"/>
      <sheetData sheetId="9425"/>
      <sheetData sheetId="9426"/>
      <sheetData sheetId="9427"/>
      <sheetData sheetId="9428"/>
      <sheetData sheetId="9429"/>
      <sheetData sheetId="9430"/>
      <sheetData sheetId="9431"/>
      <sheetData sheetId="9432"/>
      <sheetData sheetId="9433"/>
      <sheetData sheetId="9434"/>
      <sheetData sheetId="9435"/>
      <sheetData sheetId="9436"/>
      <sheetData sheetId="9437"/>
      <sheetData sheetId="9438"/>
      <sheetData sheetId="9439"/>
      <sheetData sheetId="9440"/>
      <sheetData sheetId="9441"/>
      <sheetData sheetId="9442"/>
      <sheetData sheetId="9443"/>
      <sheetData sheetId="9444"/>
      <sheetData sheetId="9445"/>
      <sheetData sheetId="9446"/>
      <sheetData sheetId="9447"/>
      <sheetData sheetId="9448"/>
      <sheetData sheetId="9449"/>
      <sheetData sheetId="9450"/>
      <sheetData sheetId="9451"/>
      <sheetData sheetId="9452"/>
      <sheetData sheetId="9453"/>
      <sheetData sheetId="9454"/>
      <sheetData sheetId="9455"/>
      <sheetData sheetId="9456"/>
      <sheetData sheetId="9457"/>
      <sheetData sheetId="9458"/>
      <sheetData sheetId="9459"/>
      <sheetData sheetId="9460"/>
      <sheetData sheetId="9461"/>
      <sheetData sheetId="9462"/>
      <sheetData sheetId="9463"/>
      <sheetData sheetId="9464"/>
      <sheetData sheetId="9465"/>
      <sheetData sheetId="9466"/>
      <sheetData sheetId="9467"/>
      <sheetData sheetId="9468"/>
      <sheetData sheetId="9469"/>
      <sheetData sheetId="9470"/>
      <sheetData sheetId="9471"/>
      <sheetData sheetId="9472"/>
      <sheetData sheetId="9473"/>
      <sheetData sheetId="9474"/>
      <sheetData sheetId="9475"/>
      <sheetData sheetId="9476"/>
      <sheetData sheetId="9477"/>
      <sheetData sheetId="9478"/>
      <sheetData sheetId="9479"/>
      <sheetData sheetId="9480"/>
      <sheetData sheetId="9481"/>
      <sheetData sheetId="9482"/>
      <sheetData sheetId="9483"/>
      <sheetData sheetId="9484"/>
      <sheetData sheetId="9485"/>
      <sheetData sheetId="9486"/>
      <sheetData sheetId="9487"/>
      <sheetData sheetId="9488"/>
      <sheetData sheetId="9489"/>
      <sheetData sheetId="9490"/>
      <sheetData sheetId="9491"/>
      <sheetData sheetId="9492"/>
      <sheetData sheetId="9493"/>
      <sheetData sheetId="9494"/>
      <sheetData sheetId="9495"/>
      <sheetData sheetId="9496"/>
      <sheetData sheetId="9497"/>
      <sheetData sheetId="9498"/>
      <sheetData sheetId="9499"/>
      <sheetData sheetId="9500"/>
      <sheetData sheetId="9501"/>
      <sheetData sheetId="9502"/>
      <sheetData sheetId="9503"/>
      <sheetData sheetId="9504"/>
      <sheetData sheetId="9505"/>
      <sheetData sheetId="9506"/>
      <sheetData sheetId="9507"/>
      <sheetData sheetId="9508"/>
      <sheetData sheetId="9509"/>
      <sheetData sheetId="9510"/>
      <sheetData sheetId="9511"/>
      <sheetData sheetId="9512"/>
      <sheetData sheetId="9513"/>
      <sheetData sheetId="9514"/>
      <sheetData sheetId="9515"/>
      <sheetData sheetId="9516"/>
      <sheetData sheetId="9517"/>
      <sheetData sheetId="9518"/>
      <sheetData sheetId="9519"/>
      <sheetData sheetId="9520"/>
      <sheetData sheetId="9521"/>
      <sheetData sheetId="9522"/>
      <sheetData sheetId="9523"/>
      <sheetData sheetId="9524"/>
      <sheetData sheetId="9525"/>
      <sheetData sheetId="9526"/>
      <sheetData sheetId="9527"/>
      <sheetData sheetId="9528"/>
      <sheetData sheetId="9529"/>
      <sheetData sheetId="9530"/>
      <sheetData sheetId="9531"/>
      <sheetData sheetId="9532"/>
      <sheetData sheetId="9533"/>
      <sheetData sheetId="9534"/>
      <sheetData sheetId="9535"/>
      <sheetData sheetId="9536"/>
      <sheetData sheetId="9537"/>
      <sheetData sheetId="9538"/>
      <sheetData sheetId="9539"/>
      <sheetData sheetId="9540"/>
      <sheetData sheetId="9541"/>
      <sheetData sheetId="9542"/>
      <sheetData sheetId="9543"/>
      <sheetData sheetId="9544"/>
      <sheetData sheetId="9545"/>
      <sheetData sheetId="9546"/>
      <sheetData sheetId="9547"/>
      <sheetData sheetId="9548"/>
      <sheetData sheetId="9549"/>
      <sheetData sheetId="9550"/>
      <sheetData sheetId="9551"/>
      <sheetData sheetId="9552"/>
      <sheetData sheetId="9553"/>
      <sheetData sheetId="9554"/>
      <sheetData sheetId="9555"/>
      <sheetData sheetId="9556"/>
      <sheetData sheetId="9557"/>
      <sheetData sheetId="9558"/>
      <sheetData sheetId="9559"/>
      <sheetData sheetId="9560"/>
      <sheetData sheetId="9561"/>
      <sheetData sheetId="9562"/>
      <sheetData sheetId="9563"/>
      <sheetData sheetId="9564"/>
      <sheetData sheetId="9565"/>
      <sheetData sheetId="9566"/>
      <sheetData sheetId="9567"/>
      <sheetData sheetId="9568"/>
      <sheetData sheetId="9569"/>
      <sheetData sheetId="9570"/>
      <sheetData sheetId="9571"/>
      <sheetData sheetId="9572"/>
      <sheetData sheetId="9573"/>
      <sheetData sheetId="9574"/>
      <sheetData sheetId="9575"/>
      <sheetData sheetId="9576"/>
      <sheetData sheetId="9577"/>
      <sheetData sheetId="9578"/>
      <sheetData sheetId="9579"/>
      <sheetData sheetId="9580"/>
      <sheetData sheetId="9581"/>
      <sheetData sheetId="9582"/>
      <sheetData sheetId="9583"/>
      <sheetData sheetId="9584"/>
      <sheetData sheetId="9585"/>
      <sheetData sheetId="9586"/>
      <sheetData sheetId="9587"/>
      <sheetData sheetId="9588"/>
      <sheetData sheetId="9589"/>
      <sheetData sheetId="9590"/>
      <sheetData sheetId="9591"/>
      <sheetData sheetId="9592"/>
      <sheetData sheetId="9593"/>
      <sheetData sheetId="9594"/>
      <sheetData sheetId="9595"/>
      <sheetData sheetId="9596"/>
      <sheetData sheetId="9597"/>
      <sheetData sheetId="9598"/>
      <sheetData sheetId="9599"/>
      <sheetData sheetId="9600"/>
      <sheetData sheetId="9601"/>
      <sheetData sheetId="9602"/>
      <sheetData sheetId="9603"/>
      <sheetData sheetId="9604"/>
      <sheetData sheetId="9605"/>
      <sheetData sheetId="9606"/>
      <sheetData sheetId="9607"/>
      <sheetData sheetId="9608"/>
      <sheetData sheetId="9609"/>
      <sheetData sheetId="9610"/>
      <sheetData sheetId="9611"/>
      <sheetData sheetId="9612"/>
      <sheetData sheetId="9613"/>
      <sheetData sheetId="9614"/>
      <sheetData sheetId="9615"/>
      <sheetData sheetId="9616"/>
      <sheetData sheetId="9617"/>
      <sheetData sheetId="9618"/>
      <sheetData sheetId="9619"/>
      <sheetData sheetId="9620"/>
      <sheetData sheetId="9621"/>
      <sheetData sheetId="9622"/>
      <sheetData sheetId="9623"/>
      <sheetData sheetId="9624"/>
      <sheetData sheetId="9625"/>
      <sheetData sheetId="9626"/>
      <sheetData sheetId="9627"/>
      <sheetData sheetId="9628"/>
      <sheetData sheetId="9629"/>
      <sheetData sheetId="9630"/>
      <sheetData sheetId="9631"/>
      <sheetData sheetId="9632"/>
      <sheetData sheetId="9633"/>
      <sheetData sheetId="9634"/>
      <sheetData sheetId="9635"/>
      <sheetData sheetId="9636"/>
      <sheetData sheetId="9637"/>
      <sheetData sheetId="9638"/>
      <sheetData sheetId="9639"/>
      <sheetData sheetId="9640"/>
      <sheetData sheetId="9641"/>
      <sheetData sheetId="9642"/>
      <sheetData sheetId="9643"/>
      <sheetData sheetId="9644"/>
      <sheetData sheetId="9645"/>
      <sheetData sheetId="9646"/>
      <sheetData sheetId="9647"/>
      <sheetData sheetId="9648"/>
      <sheetData sheetId="9649"/>
      <sheetData sheetId="9650"/>
      <sheetData sheetId="9651"/>
      <sheetData sheetId="9652"/>
      <sheetData sheetId="9653"/>
      <sheetData sheetId="9654"/>
      <sheetData sheetId="9655"/>
      <sheetData sheetId="9656"/>
      <sheetData sheetId="9657"/>
      <sheetData sheetId="9658"/>
      <sheetData sheetId="9659"/>
      <sheetData sheetId="9660"/>
      <sheetData sheetId="9661"/>
      <sheetData sheetId="9662"/>
      <sheetData sheetId="9663"/>
      <sheetData sheetId="9664"/>
      <sheetData sheetId="9665"/>
      <sheetData sheetId="9666"/>
      <sheetData sheetId="9667"/>
      <sheetData sheetId="9668"/>
      <sheetData sheetId="9669"/>
      <sheetData sheetId="9670"/>
      <sheetData sheetId="9671"/>
      <sheetData sheetId="9672"/>
      <sheetData sheetId="9673"/>
      <sheetData sheetId="9674"/>
      <sheetData sheetId="9675"/>
      <sheetData sheetId="9676"/>
      <sheetData sheetId="9677"/>
      <sheetData sheetId="9678"/>
      <sheetData sheetId="9679"/>
      <sheetData sheetId="9680"/>
      <sheetData sheetId="9681"/>
      <sheetData sheetId="9682"/>
      <sheetData sheetId="9683"/>
      <sheetData sheetId="9684"/>
      <sheetData sheetId="9685"/>
      <sheetData sheetId="9686"/>
      <sheetData sheetId="9687"/>
      <sheetData sheetId="9688"/>
      <sheetData sheetId="9689"/>
      <sheetData sheetId="9690"/>
      <sheetData sheetId="9691"/>
      <sheetData sheetId="9692"/>
      <sheetData sheetId="9693"/>
      <sheetData sheetId="9694"/>
      <sheetData sheetId="9695"/>
      <sheetData sheetId="9696"/>
      <sheetData sheetId="9697"/>
      <sheetData sheetId="9698"/>
      <sheetData sheetId="9699"/>
      <sheetData sheetId="9700"/>
      <sheetData sheetId="9701"/>
      <sheetData sheetId="9702"/>
      <sheetData sheetId="9703"/>
      <sheetData sheetId="9704"/>
      <sheetData sheetId="9705"/>
      <sheetData sheetId="9706"/>
      <sheetData sheetId="9707"/>
      <sheetData sheetId="9708"/>
      <sheetData sheetId="9709"/>
      <sheetData sheetId="9710"/>
      <sheetData sheetId="9711"/>
      <sheetData sheetId="9712"/>
      <sheetData sheetId="9713"/>
      <sheetData sheetId="9714"/>
      <sheetData sheetId="9715"/>
      <sheetData sheetId="9716"/>
      <sheetData sheetId="9717"/>
      <sheetData sheetId="9718"/>
      <sheetData sheetId="9719"/>
      <sheetData sheetId="9720"/>
      <sheetData sheetId="9721"/>
      <sheetData sheetId="9722"/>
      <sheetData sheetId="9723"/>
      <sheetData sheetId="9724"/>
      <sheetData sheetId="9725"/>
      <sheetData sheetId="9726"/>
      <sheetData sheetId="9727"/>
      <sheetData sheetId="9728"/>
      <sheetData sheetId="9729"/>
      <sheetData sheetId="9730"/>
      <sheetData sheetId="9731"/>
      <sheetData sheetId="9732"/>
      <sheetData sheetId="9733"/>
      <sheetData sheetId="9734"/>
      <sheetData sheetId="9735"/>
      <sheetData sheetId="9736"/>
      <sheetData sheetId="9737"/>
      <sheetData sheetId="9738"/>
      <sheetData sheetId="9739"/>
      <sheetData sheetId="9740"/>
      <sheetData sheetId="9741"/>
      <sheetData sheetId="9742"/>
      <sheetData sheetId="9743"/>
      <sheetData sheetId="9744"/>
      <sheetData sheetId="9745"/>
      <sheetData sheetId="9746"/>
      <sheetData sheetId="9747"/>
      <sheetData sheetId="9748"/>
      <sheetData sheetId="9749"/>
      <sheetData sheetId="9750"/>
      <sheetData sheetId="9751"/>
      <sheetData sheetId="9752"/>
      <sheetData sheetId="9753"/>
      <sheetData sheetId="9754"/>
      <sheetData sheetId="9755"/>
      <sheetData sheetId="9756"/>
      <sheetData sheetId="9757"/>
      <sheetData sheetId="9758"/>
      <sheetData sheetId="9759"/>
      <sheetData sheetId="9760"/>
      <sheetData sheetId="9761"/>
      <sheetData sheetId="9762"/>
      <sheetData sheetId="9763"/>
      <sheetData sheetId="9764"/>
      <sheetData sheetId="9765"/>
      <sheetData sheetId="9766"/>
      <sheetData sheetId="9767"/>
      <sheetData sheetId="9768"/>
      <sheetData sheetId="9769"/>
      <sheetData sheetId="9770"/>
      <sheetData sheetId="9771"/>
      <sheetData sheetId="9772"/>
      <sheetData sheetId="9773"/>
      <sheetData sheetId="9774"/>
      <sheetData sheetId="9775"/>
      <sheetData sheetId="9776"/>
      <sheetData sheetId="9777"/>
      <sheetData sheetId="9778"/>
      <sheetData sheetId="9779"/>
      <sheetData sheetId="9780"/>
      <sheetData sheetId="9781"/>
      <sheetData sheetId="9782"/>
      <sheetData sheetId="9783"/>
      <sheetData sheetId="9784"/>
      <sheetData sheetId="9785"/>
      <sheetData sheetId="9786"/>
      <sheetData sheetId="9787"/>
      <sheetData sheetId="9788"/>
      <sheetData sheetId="9789"/>
      <sheetData sheetId="9790"/>
      <sheetData sheetId="9791"/>
      <sheetData sheetId="9792"/>
      <sheetData sheetId="9793"/>
      <sheetData sheetId="9794"/>
      <sheetData sheetId="9795"/>
      <sheetData sheetId="9796"/>
      <sheetData sheetId="9797"/>
      <sheetData sheetId="9798"/>
      <sheetData sheetId="9799"/>
      <sheetData sheetId="9800"/>
      <sheetData sheetId="9801"/>
      <sheetData sheetId="9802"/>
      <sheetData sheetId="9803"/>
      <sheetData sheetId="9804"/>
      <sheetData sheetId="9805"/>
      <sheetData sheetId="9806"/>
      <sheetData sheetId="9807"/>
      <sheetData sheetId="9808"/>
      <sheetData sheetId="9809"/>
      <sheetData sheetId="9810"/>
      <sheetData sheetId="9811"/>
      <sheetData sheetId="9812"/>
      <sheetData sheetId="9813"/>
      <sheetData sheetId="9814"/>
      <sheetData sheetId="9815"/>
      <sheetData sheetId="9816"/>
      <sheetData sheetId="9817"/>
      <sheetData sheetId="9818"/>
      <sheetData sheetId="9819"/>
      <sheetData sheetId="9820"/>
      <sheetData sheetId="9821"/>
      <sheetData sheetId="9822"/>
      <sheetData sheetId="9823"/>
      <sheetData sheetId="9824"/>
      <sheetData sheetId="9825"/>
      <sheetData sheetId="9826"/>
      <sheetData sheetId="9827"/>
      <sheetData sheetId="9828"/>
      <sheetData sheetId="9829"/>
      <sheetData sheetId="9830"/>
      <sheetData sheetId="9831"/>
      <sheetData sheetId="9832"/>
      <sheetData sheetId="9833"/>
      <sheetData sheetId="9834"/>
      <sheetData sheetId="9835"/>
      <sheetData sheetId="9836"/>
      <sheetData sheetId="9837"/>
      <sheetData sheetId="9838"/>
      <sheetData sheetId="9839"/>
      <sheetData sheetId="9840"/>
      <sheetData sheetId="9841"/>
      <sheetData sheetId="9842"/>
      <sheetData sheetId="9843"/>
      <sheetData sheetId="9844"/>
      <sheetData sheetId="9845"/>
      <sheetData sheetId="9846"/>
      <sheetData sheetId="9847"/>
      <sheetData sheetId="9848"/>
      <sheetData sheetId="9849"/>
      <sheetData sheetId="9850"/>
      <sheetData sheetId="9851"/>
      <sheetData sheetId="9852"/>
      <sheetData sheetId="9853"/>
      <sheetData sheetId="9854"/>
      <sheetData sheetId="9855"/>
      <sheetData sheetId="9856"/>
      <sheetData sheetId="9857"/>
      <sheetData sheetId="9858"/>
      <sheetData sheetId="9859"/>
      <sheetData sheetId="9860"/>
      <sheetData sheetId="9861"/>
      <sheetData sheetId="9862"/>
      <sheetData sheetId="9863"/>
      <sheetData sheetId="9864"/>
      <sheetData sheetId="9865"/>
      <sheetData sheetId="9866"/>
      <sheetData sheetId="9867"/>
      <sheetData sheetId="9868"/>
      <sheetData sheetId="9869"/>
      <sheetData sheetId="9870"/>
      <sheetData sheetId="9871"/>
      <sheetData sheetId="9872"/>
      <sheetData sheetId="9873"/>
      <sheetData sheetId="9874"/>
      <sheetData sheetId="9875"/>
      <sheetData sheetId="9876"/>
      <sheetData sheetId="9877"/>
      <sheetData sheetId="9878"/>
      <sheetData sheetId="9879"/>
      <sheetData sheetId="9880"/>
      <sheetData sheetId="9881"/>
      <sheetData sheetId="9882"/>
      <sheetData sheetId="9883"/>
      <sheetData sheetId="9884"/>
      <sheetData sheetId="9885"/>
      <sheetData sheetId="9886"/>
      <sheetData sheetId="9887"/>
      <sheetData sheetId="9888"/>
      <sheetData sheetId="9889"/>
      <sheetData sheetId="9890"/>
      <sheetData sheetId="9891"/>
      <sheetData sheetId="9892"/>
      <sheetData sheetId="9893"/>
      <sheetData sheetId="9894"/>
      <sheetData sheetId="9895"/>
      <sheetData sheetId="9896"/>
      <sheetData sheetId="9897"/>
      <sheetData sheetId="9898"/>
      <sheetData sheetId="9899"/>
      <sheetData sheetId="9900"/>
      <sheetData sheetId="9901"/>
      <sheetData sheetId="9902"/>
      <sheetData sheetId="9903"/>
      <sheetData sheetId="9904"/>
      <sheetData sheetId="9905"/>
      <sheetData sheetId="9906"/>
      <sheetData sheetId="9907"/>
      <sheetData sheetId="9908"/>
      <sheetData sheetId="9909"/>
      <sheetData sheetId="9910"/>
      <sheetData sheetId="9911"/>
      <sheetData sheetId="9912"/>
      <sheetData sheetId="9913"/>
      <sheetData sheetId="9914"/>
      <sheetData sheetId="9915"/>
      <sheetData sheetId="9916"/>
      <sheetData sheetId="9917"/>
      <sheetData sheetId="9918"/>
      <sheetData sheetId="9919"/>
      <sheetData sheetId="9920"/>
      <sheetData sheetId="9921"/>
      <sheetData sheetId="9922"/>
      <sheetData sheetId="9923"/>
      <sheetData sheetId="9924"/>
      <sheetData sheetId="9925"/>
      <sheetData sheetId="9926"/>
      <sheetData sheetId="9927"/>
      <sheetData sheetId="9928"/>
      <sheetData sheetId="9929"/>
      <sheetData sheetId="9930"/>
      <sheetData sheetId="9931"/>
      <sheetData sheetId="9932"/>
      <sheetData sheetId="9933"/>
      <sheetData sheetId="9934"/>
      <sheetData sheetId="9935"/>
      <sheetData sheetId="9936"/>
      <sheetData sheetId="9937"/>
      <sheetData sheetId="9938"/>
      <sheetData sheetId="9939"/>
      <sheetData sheetId="9940"/>
      <sheetData sheetId="9941"/>
      <sheetData sheetId="9942"/>
      <sheetData sheetId="9943"/>
      <sheetData sheetId="9944"/>
      <sheetData sheetId="9945"/>
      <sheetData sheetId="9946"/>
      <sheetData sheetId="9947"/>
      <sheetData sheetId="9948"/>
      <sheetData sheetId="9949"/>
      <sheetData sheetId="9950"/>
      <sheetData sheetId="9951"/>
      <sheetData sheetId="9952"/>
      <sheetData sheetId="9953"/>
      <sheetData sheetId="9954"/>
      <sheetData sheetId="9955"/>
      <sheetData sheetId="9956"/>
      <sheetData sheetId="9957"/>
      <sheetData sheetId="9958"/>
      <sheetData sheetId="9959"/>
      <sheetData sheetId="9960"/>
      <sheetData sheetId="9961"/>
      <sheetData sheetId="9962"/>
      <sheetData sheetId="9963"/>
      <sheetData sheetId="9964"/>
      <sheetData sheetId="9965"/>
      <sheetData sheetId="9966"/>
      <sheetData sheetId="9967"/>
      <sheetData sheetId="9968"/>
      <sheetData sheetId="9969"/>
      <sheetData sheetId="9970"/>
      <sheetData sheetId="9971"/>
      <sheetData sheetId="9972"/>
      <sheetData sheetId="9973"/>
      <sheetData sheetId="9974"/>
      <sheetData sheetId="9975"/>
      <sheetData sheetId="9976"/>
      <sheetData sheetId="9977"/>
      <sheetData sheetId="9978"/>
      <sheetData sheetId="9979"/>
      <sheetData sheetId="9980"/>
      <sheetData sheetId="9981"/>
      <sheetData sheetId="9982"/>
      <sheetData sheetId="9983"/>
      <sheetData sheetId="9984"/>
      <sheetData sheetId="9985"/>
      <sheetData sheetId="9986"/>
      <sheetData sheetId="9987"/>
      <sheetData sheetId="9988"/>
      <sheetData sheetId="9989"/>
      <sheetData sheetId="9990"/>
      <sheetData sheetId="9991"/>
      <sheetData sheetId="9992"/>
      <sheetData sheetId="9993"/>
      <sheetData sheetId="9994"/>
      <sheetData sheetId="9995"/>
      <sheetData sheetId="9996"/>
      <sheetData sheetId="9997"/>
      <sheetData sheetId="9998"/>
      <sheetData sheetId="9999"/>
      <sheetData sheetId="10000"/>
      <sheetData sheetId="10001"/>
      <sheetData sheetId="10002"/>
      <sheetData sheetId="10003"/>
      <sheetData sheetId="10004"/>
      <sheetData sheetId="10005"/>
      <sheetData sheetId="10006"/>
      <sheetData sheetId="10007"/>
      <sheetData sheetId="10008"/>
      <sheetData sheetId="10009"/>
      <sheetData sheetId="10010"/>
      <sheetData sheetId="10011"/>
      <sheetData sheetId="10012"/>
      <sheetData sheetId="10013"/>
      <sheetData sheetId="10014"/>
      <sheetData sheetId="10015"/>
      <sheetData sheetId="10016"/>
      <sheetData sheetId="10017"/>
      <sheetData sheetId="10018"/>
      <sheetData sheetId="10019"/>
      <sheetData sheetId="10020"/>
      <sheetData sheetId="10021"/>
      <sheetData sheetId="10022"/>
      <sheetData sheetId="10023"/>
      <sheetData sheetId="10024"/>
      <sheetData sheetId="10025"/>
      <sheetData sheetId="10026"/>
      <sheetData sheetId="10027"/>
      <sheetData sheetId="10028"/>
      <sheetData sheetId="10029"/>
      <sheetData sheetId="10030"/>
      <sheetData sheetId="10031"/>
      <sheetData sheetId="10032"/>
      <sheetData sheetId="10033"/>
      <sheetData sheetId="10034"/>
      <sheetData sheetId="10035"/>
      <sheetData sheetId="10036"/>
      <sheetData sheetId="10037"/>
      <sheetData sheetId="10038"/>
      <sheetData sheetId="10039"/>
      <sheetData sheetId="10040"/>
      <sheetData sheetId="10041"/>
      <sheetData sheetId="10042"/>
      <sheetData sheetId="10043"/>
      <sheetData sheetId="10044"/>
      <sheetData sheetId="10045"/>
      <sheetData sheetId="10046"/>
      <sheetData sheetId="10047"/>
      <sheetData sheetId="10048"/>
      <sheetData sheetId="10049"/>
      <sheetData sheetId="10050"/>
      <sheetData sheetId="10051"/>
      <sheetData sheetId="10052"/>
      <sheetData sheetId="10053"/>
      <sheetData sheetId="10054"/>
      <sheetData sheetId="10055"/>
      <sheetData sheetId="10056"/>
      <sheetData sheetId="10057"/>
      <sheetData sheetId="10058"/>
      <sheetData sheetId="10059"/>
      <sheetData sheetId="10060"/>
      <sheetData sheetId="10061"/>
      <sheetData sheetId="10062"/>
      <sheetData sheetId="10063"/>
      <sheetData sheetId="10064"/>
      <sheetData sheetId="10065"/>
      <sheetData sheetId="10066"/>
      <sheetData sheetId="10067"/>
      <sheetData sheetId="10068"/>
      <sheetData sheetId="10069"/>
      <sheetData sheetId="10070"/>
      <sheetData sheetId="10071"/>
      <sheetData sheetId="10072"/>
      <sheetData sheetId="10073"/>
      <sheetData sheetId="10074"/>
      <sheetData sheetId="10075"/>
      <sheetData sheetId="10076"/>
      <sheetData sheetId="10077"/>
      <sheetData sheetId="10078"/>
      <sheetData sheetId="10079"/>
      <sheetData sheetId="10080"/>
      <sheetData sheetId="10081"/>
      <sheetData sheetId="10082"/>
      <sheetData sheetId="10083"/>
      <sheetData sheetId="10084"/>
      <sheetData sheetId="10085"/>
      <sheetData sheetId="10086"/>
      <sheetData sheetId="10087"/>
      <sheetData sheetId="10088"/>
      <sheetData sheetId="10089"/>
      <sheetData sheetId="10090"/>
      <sheetData sheetId="10091"/>
      <sheetData sheetId="10092"/>
      <sheetData sheetId="10093"/>
      <sheetData sheetId="10094"/>
      <sheetData sheetId="10095"/>
      <sheetData sheetId="10096"/>
      <sheetData sheetId="10097"/>
      <sheetData sheetId="10098"/>
      <sheetData sheetId="10099"/>
      <sheetData sheetId="10100"/>
      <sheetData sheetId="10101"/>
      <sheetData sheetId="10102"/>
      <sheetData sheetId="10103"/>
      <sheetData sheetId="10104"/>
      <sheetData sheetId="10105"/>
      <sheetData sheetId="10106"/>
      <sheetData sheetId="10107"/>
      <sheetData sheetId="10108"/>
      <sheetData sheetId="10109"/>
      <sheetData sheetId="10110"/>
      <sheetData sheetId="10111"/>
      <sheetData sheetId="10112"/>
      <sheetData sheetId="10113"/>
      <sheetData sheetId="10114"/>
      <sheetData sheetId="10115"/>
      <sheetData sheetId="10116"/>
      <sheetData sheetId="10117"/>
      <sheetData sheetId="10118"/>
      <sheetData sheetId="10119"/>
      <sheetData sheetId="10120"/>
      <sheetData sheetId="10121"/>
      <sheetData sheetId="10122"/>
      <sheetData sheetId="10123"/>
      <sheetData sheetId="10124"/>
      <sheetData sheetId="10125"/>
      <sheetData sheetId="10126"/>
      <sheetData sheetId="10127"/>
      <sheetData sheetId="10128"/>
      <sheetData sheetId="10129"/>
      <sheetData sheetId="10130"/>
      <sheetData sheetId="10131"/>
      <sheetData sheetId="10132"/>
      <sheetData sheetId="10133"/>
      <sheetData sheetId="10134"/>
      <sheetData sheetId="10135"/>
      <sheetData sheetId="10136"/>
      <sheetData sheetId="10137"/>
      <sheetData sheetId="10138"/>
      <sheetData sheetId="10139"/>
      <sheetData sheetId="10140"/>
      <sheetData sheetId="10141"/>
      <sheetData sheetId="10142"/>
      <sheetData sheetId="10143"/>
      <sheetData sheetId="10144"/>
      <sheetData sheetId="10145"/>
      <sheetData sheetId="10146"/>
      <sheetData sheetId="10147"/>
      <sheetData sheetId="10148"/>
      <sheetData sheetId="10149"/>
      <sheetData sheetId="10150"/>
      <sheetData sheetId="10151"/>
      <sheetData sheetId="10152"/>
      <sheetData sheetId="10153"/>
      <sheetData sheetId="10154"/>
      <sheetData sheetId="10155"/>
      <sheetData sheetId="10156"/>
      <sheetData sheetId="10157"/>
      <sheetData sheetId="10158"/>
      <sheetData sheetId="10159"/>
      <sheetData sheetId="10160"/>
      <sheetData sheetId="10161"/>
      <sheetData sheetId="10162"/>
      <sheetData sheetId="10163"/>
      <sheetData sheetId="10164"/>
      <sheetData sheetId="10165"/>
      <sheetData sheetId="10166"/>
      <sheetData sheetId="10167"/>
      <sheetData sheetId="10168"/>
      <sheetData sheetId="10169"/>
      <sheetData sheetId="10170"/>
      <sheetData sheetId="10171"/>
      <sheetData sheetId="10172"/>
      <sheetData sheetId="10173"/>
      <sheetData sheetId="10174"/>
      <sheetData sheetId="10175"/>
      <sheetData sheetId="10176"/>
      <sheetData sheetId="10177"/>
      <sheetData sheetId="10178"/>
      <sheetData sheetId="10179"/>
      <sheetData sheetId="10180"/>
      <sheetData sheetId="10181"/>
      <sheetData sheetId="10182"/>
      <sheetData sheetId="10183"/>
      <sheetData sheetId="10184"/>
      <sheetData sheetId="10185"/>
      <sheetData sheetId="10186"/>
      <sheetData sheetId="10187"/>
      <sheetData sheetId="10188"/>
      <sheetData sheetId="10189"/>
      <sheetData sheetId="10190"/>
      <sheetData sheetId="10191"/>
      <sheetData sheetId="10192"/>
      <sheetData sheetId="10193"/>
      <sheetData sheetId="10194"/>
      <sheetData sheetId="10195"/>
      <sheetData sheetId="10196"/>
      <sheetData sheetId="10197"/>
      <sheetData sheetId="10198"/>
      <sheetData sheetId="10199"/>
      <sheetData sheetId="10200"/>
      <sheetData sheetId="10201"/>
      <sheetData sheetId="10202"/>
      <sheetData sheetId="10203"/>
      <sheetData sheetId="10204"/>
      <sheetData sheetId="10205"/>
      <sheetData sheetId="10206"/>
      <sheetData sheetId="10207"/>
      <sheetData sheetId="10208"/>
      <sheetData sheetId="10209"/>
      <sheetData sheetId="10210"/>
      <sheetData sheetId="10211"/>
      <sheetData sheetId="10212"/>
      <sheetData sheetId="10213"/>
      <sheetData sheetId="10214"/>
      <sheetData sheetId="10215"/>
      <sheetData sheetId="10216"/>
      <sheetData sheetId="10217"/>
      <sheetData sheetId="10218"/>
      <sheetData sheetId="10219"/>
      <sheetData sheetId="10220"/>
      <sheetData sheetId="10221"/>
      <sheetData sheetId="10222"/>
      <sheetData sheetId="10223"/>
      <sheetData sheetId="10224"/>
      <sheetData sheetId="10225"/>
      <sheetData sheetId="10226"/>
      <sheetData sheetId="10227"/>
      <sheetData sheetId="10228"/>
      <sheetData sheetId="10229"/>
      <sheetData sheetId="10230"/>
      <sheetData sheetId="10231"/>
      <sheetData sheetId="10232"/>
      <sheetData sheetId="10233"/>
      <sheetData sheetId="10234"/>
      <sheetData sheetId="10235"/>
      <sheetData sheetId="10236"/>
      <sheetData sheetId="10237"/>
      <sheetData sheetId="10238"/>
      <sheetData sheetId="10239"/>
      <sheetData sheetId="10240"/>
      <sheetData sheetId="10241"/>
      <sheetData sheetId="10242"/>
      <sheetData sheetId="10243"/>
      <sheetData sheetId="10244"/>
      <sheetData sheetId="10245"/>
      <sheetData sheetId="10246"/>
      <sheetData sheetId="10247"/>
      <sheetData sheetId="10248"/>
      <sheetData sheetId="10249"/>
      <sheetData sheetId="10250"/>
      <sheetData sheetId="10251"/>
      <sheetData sheetId="10252"/>
      <sheetData sheetId="10253"/>
      <sheetData sheetId="10254"/>
      <sheetData sheetId="10255"/>
      <sheetData sheetId="10256"/>
      <sheetData sheetId="10257"/>
      <sheetData sheetId="10258"/>
      <sheetData sheetId="10259"/>
      <sheetData sheetId="10260"/>
      <sheetData sheetId="10261"/>
      <sheetData sheetId="10262"/>
      <sheetData sheetId="10263"/>
      <sheetData sheetId="10264"/>
      <sheetData sheetId="10265"/>
      <sheetData sheetId="10266"/>
      <sheetData sheetId="10267"/>
      <sheetData sheetId="10268"/>
      <sheetData sheetId="10269"/>
      <sheetData sheetId="10270"/>
      <sheetData sheetId="10271"/>
      <sheetData sheetId="10272"/>
      <sheetData sheetId="10273"/>
      <sheetData sheetId="10274"/>
      <sheetData sheetId="10275"/>
      <sheetData sheetId="10276"/>
      <sheetData sheetId="10277"/>
      <sheetData sheetId="10278"/>
      <sheetData sheetId="10279"/>
      <sheetData sheetId="10280"/>
      <sheetData sheetId="10281"/>
      <sheetData sheetId="10282"/>
      <sheetData sheetId="10283"/>
      <sheetData sheetId="10284"/>
      <sheetData sheetId="10285"/>
      <sheetData sheetId="10286"/>
      <sheetData sheetId="10287"/>
      <sheetData sheetId="10288"/>
      <sheetData sheetId="10289"/>
      <sheetData sheetId="10290"/>
      <sheetData sheetId="10291"/>
      <sheetData sheetId="10292"/>
      <sheetData sheetId="10293"/>
      <sheetData sheetId="10294"/>
      <sheetData sheetId="10295"/>
      <sheetData sheetId="10296"/>
      <sheetData sheetId="10297"/>
      <sheetData sheetId="10298"/>
      <sheetData sheetId="10299"/>
      <sheetData sheetId="10300"/>
      <sheetData sheetId="10301"/>
      <sheetData sheetId="10302"/>
      <sheetData sheetId="10303"/>
      <sheetData sheetId="10304"/>
      <sheetData sheetId="10305"/>
      <sheetData sheetId="10306"/>
      <sheetData sheetId="10307"/>
      <sheetData sheetId="10308"/>
      <sheetData sheetId="10309"/>
      <sheetData sheetId="10310"/>
      <sheetData sheetId="10311"/>
      <sheetData sheetId="10312"/>
      <sheetData sheetId="10313"/>
      <sheetData sheetId="10314"/>
      <sheetData sheetId="10315"/>
      <sheetData sheetId="10316"/>
      <sheetData sheetId="10317"/>
      <sheetData sheetId="10318"/>
      <sheetData sheetId="10319"/>
      <sheetData sheetId="10320"/>
      <sheetData sheetId="10321"/>
      <sheetData sheetId="10322"/>
      <sheetData sheetId="10323"/>
      <sheetData sheetId="10324"/>
      <sheetData sheetId="10325"/>
      <sheetData sheetId="10326"/>
      <sheetData sheetId="10327"/>
      <sheetData sheetId="10328"/>
      <sheetData sheetId="10329"/>
      <sheetData sheetId="10330"/>
      <sheetData sheetId="10331"/>
      <sheetData sheetId="10332"/>
      <sheetData sheetId="10333"/>
      <sheetData sheetId="10334"/>
      <sheetData sheetId="10335"/>
      <sheetData sheetId="10336"/>
      <sheetData sheetId="10337"/>
      <sheetData sheetId="10338"/>
      <sheetData sheetId="10339"/>
      <sheetData sheetId="10340"/>
      <sheetData sheetId="10341"/>
      <sheetData sheetId="10342"/>
      <sheetData sheetId="10343"/>
      <sheetData sheetId="10344"/>
      <sheetData sheetId="10345"/>
      <sheetData sheetId="10346"/>
      <sheetData sheetId="10347"/>
      <sheetData sheetId="10348"/>
      <sheetData sheetId="10349"/>
      <sheetData sheetId="10350"/>
      <sheetData sheetId="10351"/>
      <sheetData sheetId="10352"/>
      <sheetData sheetId="10353"/>
      <sheetData sheetId="10354"/>
      <sheetData sheetId="10355"/>
      <sheetData sheetId="10356"/>
      <sheetData sheetId="10357"/>
      <sheetData sheetId="10358"/>
      <sheetData sheetId="10359"/>
      <sheetData sheetId="10360"/>
      <sheetData sheetId="10361"/>
      <sheetData sheetId="10362"/>
      <sheetData sheetId="10363"/>
      <sheetData sheetId="10364"/>
      <sheetData sheetId="10365"/>
      <sheetData sheetId="10366"/>
      <sheetData sheetId="10367"/>
      <sheetData sheetId="10368"/>
      <sheetData sheetId="10369"/>
      <sheetData sheetId="10370"/>
      <sheetData sheetId="10371"/>
      <sheetData sheetId="10372"/>
      <sheetData sheetId="10373"/>
      <sheetData sheetId="10374"/>
      <sheetData sheetId="10375"/>
      <sheetData sheetId="10376"/>
      <sheetData sheetId="10377"/>
      <sheetData sheetId="10378"/>
      <sheetData sheetId="10379"/>
      <sheetData sheetId="10380"/>
      <sheetData sheetId="10381"/>
      <sheetData sheetId="10382"/>
      <sheetData sheetId="10383"/>
      <sheetData sheetId="10384"/>
      <sheetData sheetId="10385"/>
      <sheetData sheetId="10386"/>
      <sheetData sheetId="10387"/>
      <sheetData sheetId="10388"/>
      <sheetData sheetId="10389"/>
      <sheetData sheetId="10390"/>
      <sheetData sheetId="10391"/>
      <sheetData sheetId="10392"/>
      <sheetData sheetId="10393"/>
      <sheetData sheetId="10394"/>
      <sheetData sheetId="10395"/>
      <sheetData sheetId="10396"/>
      <sheetData sheetId="10397"/>
      <sheetData sheetId="10398"/>
      <sheetData sheetId="10399"/>
      <sheetData sheetId="10400"/>
      <sheetData sheetId="10401"/>
      <sheetData sheetId="10402"/>
      <sheetData sheetId="10403"/>
      <sheetData sheetId="10404"/>
      <sheetData sheetId="10405"/>
      <sheetData sheetId="10406"/>
      <sheetData sheetId="10407"/>
      <sheetData sheetId="10408"/>
      <sheetData sheetId="10409"/>
      <sheetData sheetId="10410"/>
      <sheetData sheetId="10411"/>
      <sheetData sheetId="10412"/>
      <sheetData sheetId="10413"/>
      <sheetData sheetId="10414"/>
      <sheetData sheetId="10415"/>
      <sheetData sheetId="10416"/>
      <sheetData sheetId="10417"/>
      <sheetData sheetId="10418"/>
      <sheetData sheetId="10419"/>
      <sheetData sheetId="10420"/>
      <sheetData sheetId="10421"/>
      <sheetData sheetId="10422"/>
      <sheetData sheetId="10423"/>
      <sheetData sheetId="10424"/>
      <sheetData sheetId="10425"/>
      <sheetData sheetId="10426"/>
      <sheetData sheetId="10427"/>
      <sheetData sheetId="10428"/>
      <sheetData sheetId="10429"/>
      <sheetData sheetId="10430"/>
      <sheetData sheetId="10431"/>
      <sheetData sheetId="10432"/>
      <sheetData sheetId="10433"/>
      <sheetData sheetId="10434"/>
      <sheetData sheetId="10435"/>
      <sheetData sheetId="10436"/>
      <sheetData sheetId="10437"/>
      <sheetData sheetId="10438"/>
      <sheetData sheetId="10439"/>
      <sheetData sheetId="10440"/>
      <sheetData sheetId="10441"/>
      <sheetData sheetId="10442"/>
      <sheetData sheetId="10443"/>
      <sheetData sheetId="10444"/>
      <sheetData sheetId="10445"/>
      <sheetData sheetId="10446"/>
      <sheetData sheetId="10447"/>
      <sheetData sheetId="10448"/>
      <sheetData sheetId="10449"/>
      <sheetData sheetId="10450"/>
      <sheetData sheetId="10451"/>
      <sheetData sheetId="10452"/>
      <sheetData sheetId="10453"/>
      <sheetData sheetId="10454"/>
      <sheetData sheetId="10455"/>
      <sheetData sheetId="10456"/>
      <sheetData sheetId="10457"/>
      <sheetData sheetId="10458"/>
      <sheetData sheetId="10459"/>
      <sheetData sheetId="10460"/>
      <sheetData sheetId="10461"/>
      <sheetData sheetId="10462"/>
      <sheetData sheetId="10463"/>
      <sheetData sheetId="10464"/>
      <sheetData sheetId="10465"/>
      <sheetData sheetId="10466"/>
      <sheetData sheetId="10467"/>
      <sheetData sheetId="10468"/>
      <sheetData sheetId="10469"/>
      <sheetData sheetId="10470"/>
      <sheetData sheetId="10471"/>
      <sheetData sheetId="10472"/>
      <sheetData sheetId="10473"/>
      <sheetData sheetId="10474"/>
      <sheetData sheetId="10475"/>
      <sheetData sheetId="10476"/>
      <sheetData sheetId="10477"/>
      <sheetData sheetId="10478"/>
      <sheetData sheetId="10479"/>
      <sheetData sheetId="10480"/>
      <sheetData sheetId="10481"/>
      <sheetData sheetId="10482"/>
      <sheetData sheetId="10483"/>
      <sheetData sheetId="10484"/>
      <sheetData sheetId="10485"/>
      <sheetData sheetId="10486"/>
      <sheetData sheetId="10487"/>
      <sheetData sheetId="10488"/>
      <sheetData sheetId="10489"/>
      <sheetData sheetId="10490"/>
      <sheetData sheetId="10491"/>
      <sheetData sheetId="10492"/>
      <sheetData sheetId="10493"/>
      <sheetData sheetId="10494"/>
      <sheetData sheetId="10495"/>
      <sheetData sheetId="10496"/>
      <sheetData sheetId="10497"/>
      <sheetData sheetId="10498"/>
      <sheetData sheetId="10499"/>
      <sheetData sheetId="10500"/>
      <sheetData sheetId="10501"/>
      <sheetData sheetId="10502"/>
      <sheetData sheetId="10503"/>
      <sheetData sheetId="10504"/>
      <sheetData sheetId="10505"/>
      <sheetData sheetId="10506"/>
      <sheetData sheetId="10507"/>
      <sheetData sheetId="10508"/>
      <sheetData sheetId="10509"/>
      <sheetData sheetId="10510"/>
      <sheetData sheetId="10511"/>
      <sheetData sheetId="10512"/>
      <sheetData sheetId="10513"/>
      <sheetData sheetId="10514"/>
      <sheetData sheetId="10515"/>
      <sheetData sheetId="10516"/>
      <sheetData sheetId="10517"/>
      <sheetData sheetId="10518"/>
      <sheetData sheetId="10519"/>
      <sheetData sheetId="10520"/>
      <sheetData sheetId="10521"/>
      <sheetData sheetId="10522"/>
      <sheetData sheetId="10523"/>
      <sheetData sheetId="10524"/>
      <sheetData sheetId="10525"/>
      <sheetData sheetId="10526"/>
      <sheetData sheetId="10527"/>
      <sheetData sheetId="10528"/>
      <sheetData sheetId="10529"/>
      <sheetData sheetId="10530"/>
      <sheetData sheetId="10531"/>
      <sheetData sheetId="10532"/>
      <sheetData sheetId="10533"/>
      <sheetData sheetId="10534"/>
      <sheetData sheetId="10535"/>
      <sheetData sheetId="10536"/>
      <sheetData sheetId="10537"/>
      <sheetData sheetId="10538"/>
      <sheetData sheetId="10539"/>
      <sheetData sheetId="10540"/>
      <sheetData sheetId="10541"/>
      <sheetData sheetId="10542"/>
      <sheetData sheetId="10543"/>
      <sheetData sheetId="10544"/>
      <sheetData sheetId="10545"/>
      <sheetData sheetId="10546"/>
      <sheetData sheetId="10547"/>
      <sheetData sheetId="10548"/>
      <sheetData sheetId="10549"/>
      <sheetData sheetId="10550"/>
      <sheetData sheetId="10551"/>
      <sheetData sheetId="10552"/>
      <sheetData sheetId="10553"/>
      <sheetData sheetId="10554"/>
      <sheetData sheetId="10555"/>
      <sheetData sheetId="10556"/>
      <sheetData sheetId="10557"/>
      <sheetData sheetId="10558"/>
      <sheetData sheetId="10559"/>
      <sheetData sheetId="10560"/>
      <sheetData sheetId="10561"/>
      <sheetData sheetId="10562"/>
      <sheetData sheetId="10563"/>
      <sheetData sheetId="10564"/>
      <sheetData sheetId="10565"/>
      <sheetData sheetId="10566"/>
      <sheetData sheetId="10567"/>
      <sheetData sheetId="10568"/>
      <sheetData sheetId="10569"/>
      <sheetData sheetId="10570"/>
      <sheetData sheetId="10571"/>
      <sheetData sheetId="10572"/>
      <sheetData sheetId="10573"/>
      <sheetData sheetId="10574"/>
      <sheetData sheetId="10575"/>
      <sheetData sheetId="10576"/>
      <sheetData sheetId="10577"/>
      <sheetData sheetId="10578"/>
      <sheetData sheetId="10579"/>
      <sheetData sheetId="10580"/>
      <sheetData sheetId="10581"/>
      <sheetData sheetId="10582"/>
      <sheetData sheetId="10583"/>
      <sheetData sheetId="10584"/>
      <sheetData sheetId="10585"/>
      <sheetData sheetId="10586"/>
      <sheetData sheetId="10587"/>
      <sheetData sheetId="10588"/>
      <sheetData sheetId="10589"/>
      <sheetData sheetId="10590"/>
      <sheetData sheetId="10591"/>
      <sheetData sheetId="10592"/>
      <sheetData sheetId="10593"/>
      <sheetData sheetId="10594"/>
      <sheetData sheetId="10595"/>
      <sheetData sheetId="10596"/>
      <sheetData sheetId="10597"/>
      <sheetData sheetId="10598"/>
      <sheetData sheetId="10599"/>
      <sheetData sheetId="10600"/>
      <sheetData sheetId="10601"/>
      <sheetData sheetId="10602"/>
      <sheetData sheetId="10603"/>
      <sheetData sheetId="10604"/>
      <sheetData sheetId="10605"/>
      <sheetData sheetId="10606"/>
      <sheetData sheetId="10607"/>
      <sheetData sheetId="10608"/>
      <sheetData sheetId="10609"/>
      <sheetData sheetId="10610"/>
      <sheetData sheetId="10611"/>
      <sheetData sheetId="10612"/>
      <sheetData sheetId="10613"/>
      <sheetData sheetId="10614"/>
      <sheetData sheetId="10615"/>
      <sheetData sheetId="10616"/>
      <sheetData sheetId="10617"/>
      <sheetData sheetId="10618"/>
      <sheetData sheetId="10619"/>
      <sheetData sheetId="10620"/>
      <sheetData sheetId="10621"/>
      <sheetData sheetId="10622"/>
      <sheetData sheetId="10623"/>
      <sheetData sheetId="10624"/>
      <sheetData sheetId="10625"/>
      <sheetData sheetId="10626"/>
      <sheetData sheetId="10627"/>
      <sheetData sheetId="10628"/>
      <sheetData sheetId="10629"/>
      <sheetData sheetId="10630"/>
      <sheetData sheetId="10631"/>
      <sheetData sheetId="10632"/>
      <sheetData sheetId="10633"/>
      <sheetData sheetId="10634"/>
      <sheetData sheetId="10635"/>
      <sheetData sheetId="10636"/>
      <sheetData sheetId="10637"/>
      <sheetData sheetId="10638"/>
      <sheetData sheetId="10639"/>
      <sheetData sheetId="10640"/>
      <sheetData sheetId="10641"/>
      <sheetData sheetId="10642"/>
      <sheetData sheetId="10643"/>
      <sheetData sheetId="10644"/>
      <sheetData sheetId="10645"/>
      <sheetData sheetId="10646"/>
      <sheetData sheetId="10647"/>
      <sheetData sheetId="10648"/>
      <sheetData sheetId="10649"/>
      <sheetData sheetId="10650"/>
      <sheetData sheetId="10651"/>
      <sheetData sheetId="10652"/>
      <sheetData sheetId="10653"/>
      <sheetData sheetId="10654"/>
      <sheetData sheetId="10655"/>
      <sheetData sheetId="10656"/>
      <sheetData sheetId="10657"/>
      <sheetData sheetId="10658"/>
      <sheetData sheetId="10659"/>
      <sheetData sheetId="10660"/>
      <sheetData sheetId="10661"/>
      <sheetData sheetId="10662"/>
      <sheetData sheetId="10663"/>
      <sheetData sheetId="10664"/>
      <sheetData sheetId="10665"/>
      <sheetData sheetId="10666"/>
      <sheetData sheetId="10667"/>
      <sheetData sheetId="10668"/>
      <sheetData sheetId="10669"/>
      <sheetData sheetId="10670"/>
      <sheetData sheetId="10671"/>
      <sheetData sheetId="10672"/>
      <sheetData sheetId="10673"/>
      <sheetData sheetId="10674"/>
      <sheetData sheetId="10675"/>
      <sheetData sheetId="10676"/>
      <sheetData sheetId="10677"/>
      <sheetData sheetId="10678"/>
      <sheetData sheetId="10679"/>
      <sheetData sheetId="10680"/>
      <sheetData sheetId="10681"/>
      <sheetData sheetId="10682"/>
      <sheetData sheetId="10683"/>
      <sheetData sheetId="10684" refreshError="1"/>
      <sheetData sheetId="10685" refreshError="1"/>
      <sheetData sheetId="10686" refreshError="1"/>
      <sheetData sheetId="10687" refreshError="1"/>
      <sheetData sheetId="10688"/>
      <sheetData sheetId="10689"/>
      <sheetData sheetId="10690"/>
      <sheetData sheetId="10691"/>
      <sheetData sheetId="10692"/>
      <sheetData sheetId="10693"/>
      <sheetData sheetId="10694"/>
      <sheetData sheetId="10695"/>
      <sheetData sheetId="10696"/>
      <sheetData sheetId="10697"/>
      <sheetData sheetId="10698"/>
      <sheetData sheetId="10699"/>
      <sheetData sheetId="10700"/>
      <sheetData sheetId="10701"/>
      <sheetData sheetId="10702"/>
      <sheetData sheetId="10703"/>
      <sheetData sheetId="10704"/>
      <sheetData sheetId="10705"/>
      <sheetData sheetId="10706"/>
      <sheetData sheetId="10707"/>
      <sheetData sheetId="10708"/>
      <sheetData sheetId="10709"/>
      <sheetData sheetId="10710"/>
      <sheetData sheetId="10711"/>
      <sheetData sheetId="10712"/>
      <sheetData sheetId="10713"/>
      <sheetData sheetId="10714"/>
      <sheetData sheetId="10715"/>
      <sheetData sheetId="10716"/>
      <sheetData sheetId="10717"/>
      <sheetData sheetId="10718"/>
      <sheetData sheetId="10719"/>
      <sheetData sheetId="10720"/>
      <sheetData sheetId="10721"/>
      <sheetData sheetId="10722"/>
      <sheetData sheetId="10723"/>
      <sheetData sheetId="10724"/>
      <sheetData sheetId="10725"/>
      <sheetData sheetId="10726"/>
      <sheetData sheetId="10727"/>
      <sheetData sheetId="10728"/>
      <sheetData sheetId="10729"/>
      <sheetData sheetId="10730"/>
      <sheetData sheetId="10731"/>
      <sheetData sheetId="10732"/>
      <sheetData sheetId="10733"/>
      <sheetData sheetId="10734"/>
      <sheetData sheetId="10735"/>
      <sheetData sheetId="10736"/>
      <sheetData sheetId="10737"/>
      <sheetData sheetId="10738"/>
      <sheetData sheetId="10739"/>
      <sheetData sheetId="10740"/>
      <sheetData sheetId="10741"/>
      <sheetData sheetId="10742"/>
      <sheetData sheetId="10743"/>
      <sheetData sheetId="10744"/>
      <sheetData sheetId="10745"/>
      <sheetData sheetId="10746"/>
      <sheetData sheetId="10747"/>
      <sheetData sheetId="10748"/>
      <sheetData sheetId="10749"/>
      <sheetData sheetId="10750"/>
      <sheetData sheetId="10751"/>
      <sheetData sheetId="10752"/>
      <sheetData sheetId="10753"/>
      <sheetData sheetId="10754"/>
      <sheetData sheetId="10755"/>
      <sheetData sheetId="10756"/>
      <sheetData sheetId="10757"/>
      <sheetData sheetId="10758"/>
      <sheetData sheetId="10759"/>
      <sheetData sheetId="10760"/>
      <sheetData sheetId="10761"/>
      <sheetData sheetId="10762"/>
      <sheetData sheetId="10763"/>
      <sheetData sheetId="10764"/>
      <sheetData sheetId="10765"/>
      <sheetData sheetId="10766"/>
      <sheetData sheetId="10767"/>
      <sheetData sheetId="10768"/>
      <sheetData sheetId="10769"/>
      <sheetData sheetId="10770"/>
      <sheetData sheetId="10771"/>
      <sheetData sheetId="10772"/>
      <sheetData sheetId="10773"/>
      <sheetData sheetId="10774"/>
      <sheetData sheetId="10775"/>
      <sheetData sheetId="10776"/>
      <sheetData sheetId="10777"/>
      <sheetData sheetId="10778"/>
      <sheetData sheetId="10779"/>
      <sheetData sheetId="10780"/>
      <sheetData sheetId="10781"/>
      <sheetData sheetId="10782"/>
      <sheetData sheetId="10783"/>
      <sheetData sheetId="10784"/>
      <sheetData sheetId="10785"/>
      <sheetData sheetId="10786"/>
      <sheetData sheetId="10787"/>
      <sheetData sheetId="10788"/>
      <sheetData sheetId="10789"/>
      <sheetData sheetId="10790"/>
      <sheetData sheetId="10791"/>
      <sheetData sheetId="10792"/>
      <sheetData sheetId="10793"/>
      <sheetData sheetId="10794"/>
      <sheetData sheetId="10795"/>
      <sheetData sheetId="10796"/>
      <sheetData sheetId="10797"/>
      <sheetData sheetId="10798"/>
      <sheetData sheetId="10799"/>
      <sheetData sheetId="10800"/>
      <sheetData sheetId="10801"/>
      <sheetData sheetId="10802"/>
      <sheetData sheetId="10803"/>
      <sheetData sheetId="10804"/>
      <sheetData sheetId="10805"/>
      <sheetData sheetId="10806"/>
      <sheetData sheetId="10807"/>
      <sheetData sheetId="10808"/>
      <sheetData sheetId="10809"/>
      <sheetData sheetId="10810"/>
      <sheetData sheetId="10811"/>
      <sheetData sheetId="10812"/>
      <sheetData sheetId="10813"/>
      <sheetData sheetId="10814"/>
      <sheetData sheetId="10815"/>
      <sheetData sheetId="10816"/>
      <sheetData sheetId="10817"/>
      <sheetData sheetId="10818"/>
      <sheetData sheetId="10819"/>
      <sheetData sheetId="10820"/>
      <sheetData sheetId="10821"/>
      <sheetData sheetId="10822"/>
      <sheetData sheetId="10823"/>
      <sheetData sheetId="10824"/>
      <sheetData sheetId="10825"/>
      <sheetData sheetId="10826"/>
      <sheetData sheetId="10827"/>
      <sheetData sheetId="10828"/>
      <sheetData sheetId="10829"/>
      <sheetData sheetId="10830"/>
      <sheetData sheetId="10831"/>
      <sheetData sheetId="10832"/>
      <sheetData sheetId="10833"/>
      <sheetData sheetId="10834"/>
      <sheetData sheetId="10835"/>
      <sheetData sheetId="10836"/>
      <sheetData sheetId="10837"/>
      <sheetData sheetId="10838"/>
      <sheetData sheetId="10839"/>
      <sheetData sheetId="10840"/>
      <sheetData sheetId="10841"/>
      <sheetData sheetId="10842"/>
      <sheetData sheetId="10843"/>
      <sheetData sheetId="10844"/>
      <sheetData sheetId="10845"/>
      <sheetData sheetId="10846"/>
      <sheetData sheetId="10847"/>
      <sheetData sheetId="10848"/>
      <sheetData sheetId="10849"/>
      <sheetData sheetId="10850"/>
      <sheetData sheetId="10851"/>
      <sheetData sheetId="10852"/>
      <sheetData sheetId="10853"/>
      <sheetData sheetId="10854"/>
      <sheetData sheetId="10855"/>
      <sheetData sheetId="10856"/>
      <sheetData sheetId="10857"/>
      <sheetData sheetId="10858"/>
      <sheetData sheetId="10859"/>
      <sheetData sheetId="10860"/>
      <sheetData sheetId="10861"/>
      <sheetData sheetId="10862"/>
      <sheetData sheetId="10863"/>
      <sheetData sheetId="10864"/>
      <sheetData sheetId="10865"/>
      <sheetData sheetId="10866"/>
      <sheetData sheetId="10867"/>
      <sheetData sheetId="10868"/>
      <sheetData sheetId="10869"/>
      <sheetData sheetId="10870"/>
      <sheetData sheetId="10871"/>
      <sheetData sheetId="10872"/>
      <sheetData sheetId="10873"/>
      <sheetData sheetId="10874"/>
      <sheetData sheetId="10875"/>
      <sheetData sheetId="10876"/>
      <sheetData sheetId="10877"/>
      <sheetData sheetId="10878"/>
      <sheetData sheetId="10879"/>
      <sheetData sheetId="10880"/>
      <sheetData sheetId="10881"/>
      <sheetData sheetId="10882"/>
      <sheetData sheetId="10883"/>
      <sheetData sheetId="10884"/>
      <sheetData sheetId="10885"/>
      <sheetData sheetId="10886"/>
      <sheetData sheetId="10887"/>
      <sheetData sheetId="10888"/>
      <sheetData sheetId="10889"/>
      <sheetData sheetId="10890"/>
      <sheetData sheetId="10891"/>
      <sheetData sheetId="10892"/>
      <sheetData sheetId="10893"/>
      <sheetData sheetId="10894"/>
      <sheetData sheetId="10895"/>
      <sheetData sheetId="10896"/>
      <sheetData sheetId="10897"/>
      <sheetData sheetId="10898"/>
      <sheetData sheetId="10899"/>
      <sheetData sheetId="10900"/>
      <sheetData sheetId="10901"/>
      <sheetData sheetId="10902"/>
      <sheetData sheetId="10903"/>
      <sheetData sheetId="10904"/>
      <sheetData sheetId="10905"/>
      <sheetData sheetId="10906"/>
      <sheetData sheetId="10907"/>
      <sheetData sheetId="10908"/>
      <sheetData sheetId="10909"/>
      <sheetData sheetId="10910"/>
      <sheetData sheetId="10911"/>
      <sheetData sheetId="10912"/>
      <sheetData sheetId="10913"/>
      <sheetData sheetId="10914"/>
      <sheetData sheetId="10915"/>
      <sheetData sheetId="10916"/>
      <sheetData sheetId="10917"/>
      <sheetData sheetId="10918"/>
      <sheetData sheetId="10919"/>
      <sheetData sheetId="10920"/>
      <sheetData sheetId="10921"/>
      <sheetData sheetId="10922"/>
      <sheetData sheetId="10923"/>
      <sheetData sheetId="10924"/>
      <sheetData sheetId="10925"/>
      <sheetData sheetId="10926"/>
      <sheetData sheetId="10927"/>
      <sheetData sheetId="10928"/>
      <sheetData sheetId="10929"/>
      <sheetData sheetId="10930"/>
      <sheetData sheetId="10931"/>
      <sheetData sheetId="10932"/>
      <sheetData sheetId="10933"/>
      <sheetData sheetId="10934"/>
      <sheetData sheetId="10935"/>
      <sheetData sheetId="10936"/>
      <sheetData sheetId="10937"/>
      <sheetData sheetId="10938"/>
      <sheetData sheetId="10939"/>
      <sheetData sheetId="10940"/>
      <sheetData sheetId="10941"/>
      <sheetData sheetId="10942"/>
      <sheetData sheetId="10943"/>
      <sheetData sheetId="10944"/>
      <sheetData sheetId="10945"/>
      <sheetData sheetId="10946"/>
      <sheetData sheetId="10947"/>
      <sheetData sheetId="10948"/>
      <sheetData sheetId="10949"/>
      <sheetData sheetId="10950"/>
      <sheetData sheetId="10951"/>
      <sheetData sheetId="10952"/>
      <sheetData sheetId="10953"/>
      <sheetData sheetId="10954"/>
      <sheetData sheetId="10955"/>
      <sheetData sheetId="10956"/>
      <sheetData sheetId="10957"/>
      <sheetData sheetId="10958"/>
      <sheetData sheetId="10959"/>
      <sheetData sheetId="10960"/>
      <sheetData sheetId="10961"/>
      <sheetData sheetId="10962"/>
      <sheetData sheetId="10963"/>
      <sheetData sheetId="10964"/>
      <sheetData sheetId="10965"/>
      <sheetData sheetId="10966"/>
      <sheetData sheetId="10967"/>
      <sheetData sheetId="10968"/>
      <sheetData sheetId="10969"/>
      <sheetData sheetId="10970"/>
      <sheetData sheetId="10971"/>
      <sheetData sheetId="10972"/>
      <sheetData sheetId="10973"/>
      <sheetData sheetId="10974"/>
      <sheetData sheetId="10975"/>
      <sheetData sheetId="10976"/>
      <sheetData sheetId="10977"/>
      <sheetData sheetId="10978"/>
      <sheetData sheetId="10979"/>
      <sheetData sheetId="10980"/>
      <sheetData sheetId="10981"/>
      <sheetData sheetId="10982"/>
      <sheetData sheetId="10983"/>
      <sheetData sheetId="10984"/>
      <sheetData sheetId="10985"/>
      <sheetData sheetId="10986"/>
      <sheetData sheetId="10987"/>
      <sheetData sheetId="10988"/>
      <sheetData sheetId="10989"/>
      <sheetData sheetId="10990"/>
      <sheetData sheetId="10991"/>
      <sheetData sheetId="10992"/>
      <sheetData sheetId="10993"/>
      <sheetData sheetId="10994"/>
      <sheetData sheetId="10995"/>
      <sheetData sheetId="10996"/>
      <sheetData sheetId="10997"/>
      <sheetData sheetId="10998"/>
      <sheetData sheetId="10999"/>
      <sheetData sheetId="11000"/>
      <sheetData sheetId="11001"/>
      <sheetData sheetId="11002"/>
      <sheetData sheetId="11003"/>
      <sheetData sheetId="11004"/>
      <sheetData sheetId="11005"/>
      <sheetData sheetId="11006"/>
      <sheetData sheetId="11007"/>
      <sheetData sheetId="11008"/>
      <sheetData sheetId="11009"/>
      <sheetData sheetId="11010"/>
      <sheetData sheetId="11011"/>
      <sheetData sheetId="11012"/>
      <sheetData sheetId="11013"/>
      <sheetData sheetId="11014"/>
      <sheetData sheetId="11015"/>
      <sheetData sheetId="11016"/>
      <sheetData sheetId="11017"/>
      <sheetData sheetId="11018"/>
      <sheetData sheetId="11019"/>
      <sheetData sheetId="11020"/>
      <sheetData sheetId="11021"/>
      <sheetData sheetId="11022"/>
      <sheetData sheetId="11023"/>
      <sheetData sheetId="11024"/>
      <sheetData sheetId="11025"/>
      <sheetData sheetId="11026"/>
      <sheetData sheetId="11027"/>
      <sheetData sheetId="11028"/>
      <sheetData sheetId="11029"/>
      <sheetData sheetId="11030"/>
      <sheetData sheetId="11031"/>
      <sheetData sheetId="11032"/>
      <sheetData sheetId="11033"/>
      <sheetData sheetId="11034"/>
      <sheetData sheetId="11035"/>
      <sheetData sheetId="11036"/>
      <sheetData sheetId="11037"/>
      <sheetData sheetId="11038"/>
      <sheetData sheetId="11039"/>
      <sheetData sheetId="11040"/>
      <sheetData sheetId="11041"/>
      <sheetData sheetId="11042"/>
      <sheetData sheetId="11043"/>
      <sheetData sheetId="11044"/>
      <sheetData sheetId="11045"/>
      <sheetData sheetId="11046"/>
      <sheetData sheetId="11047"/>
      <sheetData sheetId="11048"/>
      <sheetData sheetId="11049"/>
      <sheetData sheetId="11050"/>
      <sheetData sheetId="11051"/>
      <sheetData sheetId="11052"/>
      <sheetData sheetId="11053"/>
      <sheetData sheetId="11054"/>
      <sheetData sheetId="11055"/>
      <sheetData sheetId="11056"/>
      <sheetData sheetId="11057"/>
      <sheetData sheetId="11058"/>
      <sheetData sheetId="11059"/>
      <sheetData sheetId="11060"/>
      <sheetData sheetId="11061"/>
      <sheetData sheetId="11062"/>
      <sheetData sheetId="11063"/>
      <sheetData sheetId="11064"/>
      <sheetData sheetId="11065"/>
      <sheetData sheetId="11066"/>
      <sheetData sheetId="11067"/>
      <sheetData sheetId="11068"/>
      <sheetData sheetId="11069"/>
      <sheetData sheetId="11070"/>
      <sheetData sheetId="11071"/>
      <sheetData sheetId="11072"/>
      <sheetData sheetId="11073"/>
      <sheetData sheetId="11074"/>
      <sheetData sheetId="11075"/>
      <sheetData sheetId="11076"/>
      <sheetData sheetId="11077"/>
      <sheetData sheetId="11078"/>
      <sheetData sheetId="11079"/>
      <sheetData sheetId="11080"/>
      <sheetData sheetId="11081"/>
      <sheetData sheetId="11082"/>
      <sheetData sheetId="11083"/>
      <sheetData sheetId="11084"/>
      <sheetData sheetId="11085"/>
      <sheetData sheetId="11086"/>
      <sheetData sheetId="11087"/>
      <sheetData sheetId="11088"/>
      <sheetData sheetId="11089"/>
      <sheetData sheetId="11090"/>
      <sheetData sheetId="11091"/>
      <sheetData sheetId="11092"/>
      <sheetData sheetId="11093"/>
      <sheetData sheetId="11094"/>
      <sheetData sheetId="11095"/>
      <sheetData sheetId="11096"/>
      <sheetData sheetId="11097"/>
      <sheetData sheetId="11098"/>
      <sheetData sheetId="11099"/>
      <sheetData sheetId="11100"/>
      <sheetData sheetId="11101"/>
      <sheetData sheetId="11102"/>
      <sheetData sheetId="11103"/>
      <sheetData sheetId="11104"/>
      <sheetData sheetId="11105"/>
      <sheetData sheetId="11106"/>
      <sheetData sheetId="11107"/>
      <sheetData sheetId="11108"/>
      <sheetData sheetId="11109"/>
      <sheetData sheetId="11110"/>
      <sheetData sheetId="11111"/>
      <sheetData sheetId="11112"/>
      <sheetData sheetId="11113"/>
      <sheetData sheetId="11114"/>
      <sheetData sheetId="11115"/>
      <sheetData sheetId="11116"/>
      <sheetData sheetId="11117"/>
      <sheetData sheetId="11118"/>
      <sheetData sheetId="11119"/>
      <sheetData sheetId="11120"/>
      <sheetData sheetId="11121"/>
      <sheetData sheetId="11122"/>
      <sheetData sheetId="11123"/>
      <sheetData sheetId="11124"/>
      <sheetData sheetId="11125"/>
      <sheetData sheetId="11126"/>
      <sheetData sheetId="11127"/>
      <sheetData sheetId="11128"/>
      <sheetData sheetId="11129"/>
      <sheetData sheetId="11130"/>
      <sheetData sheetId="11131"/>
      <sheetData sheetId="11132"/>
      <sheetData sheetId="11133"/>
      <sheetData sheetId="11134"/>
      <sheetData sheetId="11135"/>
      <sheetData sheetId="11136"/>
      <sheetData sheetId="11137"/>
      <sheetData sheetId="11138"/>
      <sheetData sheetId="11139"/>
      <sheetData sheetId="11140"/>
      <sheetData sheetId="11141"/>
      <sheetData sheetId="11142"/>
      <sheetData sheetId="11143"/>
      <sheetData sheetId="11144"/>
      <sheetData sheetId="11145"/>
      <sheetData sheetId="11146"/>
      <sheetData sheetId="11147"/>
      <sheetData sheetId="11148"/>
      <sheetData sheetId="11149"/>
      <sheetData sheetId="11150"/>
      <sheetData sheetId="11151"/>
      <sheetData sheetId="11152"/>
      <sheetData sheetId="11153"/>
      <sheetData sheetId="11154"/>
      <sheetData sheetId="11155"/>
      <sheetData sheetId="11156"/>
      <sheetData sheetId="11157"/>
      <sheetData sheetId="11158"/>
      <sheetData sheetId="11159"/>
      <sheetData sheetId="11160"/>
      <sheetData sheetId="11161"/>
      <sheetData sheetId="11162"/>
      <sheetData sheetId="11163"/>
      <sheetData sheetId="11164"/>
      <sheetData sheetId="11165"/>
      <sheetData sheetId="11166"/>
      <sheetData sheetId="11167"/>
      <sheetData sheetId="11168"/>
      <sheetData sheetId="11169"/>
      <sheetData sheetId="11170"/>
      <sheetData sheetId="11171"/>
      <sheetData sheetId="11172"/>
      <sheetData sheetId="11173"/>
      <sheetData sheetId="11174"/>
      <sheetData sheetId="11175"/>
      <sheetData sheetId="11176"/>
      <sheetData sheetId="11177"/>
      <sheetData sheetId="11178"/>
      <sheetData sheetId="11179"/>
      <sheetData sheetId="11180"/>
      <sheetData sheetId="11181"/>
      <sheetData sheetId="11182"/>
      <sheetData sheetId="11183"/>
      <sheetData sheetId="11184"/>
      <sheetData sheetId="11185"/>
      <sheetData sheetId="11186"/>
      <sheetData sheetId="11187"/>
      <sheetData sheetId="11188"/>
      <sheetData sheetId="11189"/>
      <sheetData sheetId="11190"/>
      <sheetData sheetId="11191"/>
      <sheetData sheetId="11192"/>
      <sheetData sheetId="11193"/>
      <sheetData sheetId="11194"/>
      <sheetData sheetId="11195"/>
      <sheetData sheetId="11196"/>
      <sheetData sheetId="11197"/>
      <sheetData sheetId="11198"/>
      <sheetData sheetId="11199"/>
      <sheetData sheetId="11200"/>
      <sheetData sheetId="11201"/>
      <sheetData sheetId="11202"/>
      <sheetData sheetId="11203"/>
      <sheetData sheetId="11204"/>
      <sheetData sheetId="11205"/>
      <sheetData sheetId="11206"/>
      <sheetData sheetId="11207"/>
      <sheetData sheetId="11208"/>
      <sheetData sheetId="11209"/>
      <sheetData sheetId="11210"/>
      <sheetData sheetId="11211"/>
      <sheetData sheetId="11212"/>
      <sheetData sheetId="11213"/>
      <sheetData sheetId="11214"/>
      <sheetData sheetId="11215"/>
      <sheetData sheetId="11216"/>
      <sheetData sheetId="11217"/>
      <sheetData sheetId="11218"/>
      <sheetData sheetId="11219"/>
      <sheetData sheetId="11220"/>
      <sheetData sheetId="11221"/>
      <sheetData sheetId="11222" refreshError="1"/>
      <sheetData sheetId="11223" refreshError="1"/>
      <sheetData sheetId="11224" refreshError="1"/>
      <sheetData sheetId="11225"/>
      <sheetData sheetId="11226"/>
      <sheetData sheetId="11227"/>
      <sheetData sheetId="11228"/>
      <sheetData sheetId="11229"/>
      <sheetData sheetId="11230"/>
      <sheetData sheetId="11231"/>
      <sheetData sheetId="11232"/>
      <sheetData sheetId="11233"/>
      <sheetData sheetId="11234"/>
      <sheetData sheetId="11235"/>
      <sheetData sheetId="11236"/>
      <sheetData sheetId="11237"/>
      <sheetData sheetId="11238"/>
      <sheetData sheetId="11239"/>
      <sheetData sheetId="11240" refreshError="1"/>
      <sheetData sheetId="11241" refreshError="1"/>
      <sheetData sheetId="11242" refreshError="1"/>
      <sheetData sheetId="11243" refreshError="1"/>
      <sheetData sheetId="11244" refreshError="1"/>
      <sheetData sheetId="11245" refreshError="1"/>
      <sheetData sheetId="11246" refreshError="1"/>
      <sheetData sheetId="11247" refreshError="1"/>
      <sheetData sheetId="11248" refreshError="1"/>
      <sheetData sheetId="11249" refreshError="1"/>
      <sheetData sheetId="11250" refreshError="1"/>
      <sheetData sheetId="11251" refreshError="1"/>
      <sheetData sheetId="11252" refreshError="1"/>
      <sheetData sheetId="11253" refreshError="1"/>
      <sheetData sheetId="11254" refreshError="1"/>
      <sheetData sheetId="11255" refreshError="1"/>
      <sheetData sheetId="11256" refreshError="1"/>
      <sheetData sheetId="11257" refreshError="1"/>
      <sheetData sheetId="11258" refreshError="1"/>
      <sheetData sheetId="11259" refreshError="1"/>
      <sheetData sheetId="11260" refreshError="1"/>
      <sheetData sheetId="11261" refreshError="1"/>
      <sheetData sheetId="11262" refreshError="1"/>
      <sheetData sheetId="11263" refreshError="1"/>
      <sheetData sheetId="11264" refreshError="1"/>
      <sheetData sheetId="11265" refreshError="1"/>
      <sheetData sheetId="11266" refreshError="1"/>
      <sheetData sheetId="11267" refreshError="1"/>
      <sheetData sheetId="11268" refreshError="1"/>
      <sheetData sheetId="11269" refreshError="1"/>
      <sheetData sheetId="11270" refreshError="1"/>
      <sheetData sheetId="11271"/>
      <sheetData sheetId="11272"/>
      <sheetData sheetId="11273"/>
      <sheetData sheetId="11274" refreshError="1"/>
      <sheetData sheetId="11275" refreshError="1"/>
      <sheetData sheetId="11276"/>
      <sheetData sheetId="11277" refreshError="1"/>
      <sheetData sheetId="11278"/>
      <sheetData sheetId="11279"/>
      <sheetData sheetId="11280"/>
      <sheetData sheetId="11281"/>
      <sheetData sheetId="11282"/>
      <sheetData sheetId="11283"/>
      <sheetData sheetId="11284"/>
      <sheetData sheetId="11285"/>
      <sheetData sheetId="11286"/>
      <sheetData sheetId="11287"/>
      <sheetData sheetId="11288"/>
      <sheetData sheetId="11289"/>
      <sheetData sheetId="11290"/>
      <sheetData sheetId="11291"/>
      <sheetData sheetId="11292"/>
      <sheetData sheetId="11293"/>
      <sheetData sheetId="11294"/>
      <sheetData sheetId="11295"/>
      <sheetData sheetId="11296"/>
      <sheetData sheetId="11297"/>
      <sheetData sheetId="11298"/>
      <sheetData sheetId="11299"/>
      <sheetData sheetId="11300"/>
      <sheetData sheetId="11301"/>
      <sheetData sheetId="11302"/>
      <sheetData sheetId="11303"/>
      <sheetData sheetId="11304"/>
      <sheetData sheetId="11305"/>
      <sheetData sheetId="11306"/>
      <sheetData sheetId="11307"/>
      <sheetData sheetId="11308"/>
      <sheetData sheetId="11309"/>
      <sheetData sheetId="11310"/>
      <sheetData sheetId="11311"/>
      <sheetData sheetId="11312"/>
      <sheetData sheetId="11313"/>
      <sheetData sheetId="11314"/>
      <sheetData sheetId="11315"/>
      <sheetData sheetId="11316"/>
      <sheetData sheetId="11317"/>
      <sheetData sheetId="11318" refreshError="1"/>
      <sheetData sheetId="11319" refreshError="1"/>
      <sheetData sheetId="11320" refreshError="1"/>
      <sheetData sheetId="11321" refreshError="1"/>
      <sheetData sheetId="11322" refreshError="1"/>
      <sheetData sheetId="11323"/>
      <sheetData sheetId="11324" refreshError="1"/>
      <sheetData sheetId="11325" refreshError="1"/>
      <sheetData sheetId="11326"/>
      <sheetData sheetId="11327"/>
      <sheetData sheetId="11328"/>
      <sheetData sheetId="11329"/>
      <sheetData sheetId="11330"/>
      <sheetData sheetId="11331"/>
      <sheetData sheetId="11332"/>
      <sheetData sheetId="11333"/>
      <sheetData sheetId="11334"/>
      <sheetData sheetId="11335"/>
      <sheetData sheetId="11336"/>
      <sheetData sheetId="11337"/>
      <sheetData sheetId="11338"/>
      <sheetData sheetId="11339"/>
      <sheetData sheetId="11340"/>
      <sheetData sheetId="11341"/>
      <sheetData sheetId="11342"/>
      <sheetData sheetId="11343"/>
      <sheetData sheetId="11344"/>
      <sheetData sheetId="11345"/>
      <sheetData sheetId="11346"/>
      <sheetData sheetId="11347"/>
      <sheetData sheetId="11348"/>
      <sheetData sheetId="11349"/>
      <sheetData sheetId="11350" refreshError="1"/>
      <sheetData sheetId="11351"/>
      <sheetData sheetId="11352"/>
      <sheetData sheetId="11353"/>
      <sheetData sheetId="11354"/>
      <sheetData sheetId="11355"/>
      <sheetData sheetId="11356"/>
      <sheetData sheetId="11357"/>
      <sheetData sheetId="11358"/>
      <sheetData sheetId="11359"/>
      <sheetData sheetId="11360"/>
      <sheetData sheetId="11361"/>
      <sheetData sheetId="11362"/>
      <sheetData sheetId="11363"/>
      <sheetData sheetId="11364"/>
      <sheetData sheetId="11365"/>
      <sheetData sheetId="11366"/>
      <sheetData sheetId="11367"/>
      <sheetData sheetId="11368"/>
      <sheetData sheetId="11369"/>
      <sheetData sheetId="11370"/>
      <sheetData sheetId="11371"/>
      <sheetData sheetId="11372"/>
      <sheetData sheetId="11373"/>
      <sheetData sheetId="11374"/>
      <sheetData sheetId="11375"/>
      <sheetData sheetId="11376"/>
      <sheetData sheetId="11377"/>
      <sheetData sheetId="11378"/>
      <sheetData sheetId="11379"/>
      <sheetData sheetId="11380"/>
      <sheetData sheetId="11381"/>
      <sheetData sheetId="11382"/>
      <sheetData sheetId="11383"/>
      <sheetData sheetId="11384"/>
      <sheetData sheetId="11385"/>
      <sheetData sheetId="11386"/>
      <sheetData sheetId="11387"/>
      <sheetData sheetId="11388"/>
      <sheetData sheetId="11389"/>
      <sheetData sheetId="11390"/>
      <sheetData sheetId="11391"/>
      <sheetData sheetId="11392"/>
      <sheetData sheetId="11393"/>
      <sheetData sheetId="11394"/>
      <sheetData sheetId="11395"/>
      <sheetData sheetId="11396"/>
      <sheetData sheetId="11397"/>
      <sheetData sheetId="11398"/>
      <sheetData sheetId="11399"/>
      <sheetData sheetId="11400"/>
      <sheetData sheetId="11401"/>
      <sheetData sheetId="11402"/>
      <sheetData sheetId="11403"/>
      <sheetData sheetId="11404" refreshError="1"/>
      <sheetData sheetId="11405" refreshError="1"/>
      <sheetData sheetId="11406" refreshError="1"/>
      <sheetData sheetId="11407" refreshError="1"/>
      <sheetData sheetId="11408" refreshError="1"/>
      <sheetData sheetId="11409" refreshError="1"/>
      <sheetData sheetId="11410" refreshError="1"/>
      <sheetData sheetId="11411" refreshError="1"/>
      <sheetData sheetId="11412" refreshError="1"/>
      <sheetData sheetId="11413" refreshError="1"/>
      <sheetData sheetId="11414" refreshError="1"/>
      <sheetData sheetId="11415" refreshError="1"/>
      <sheetData sheetId="11416" refreshError="1"/>
      <sheetData sheetId="11417" refreshError="1"/>
      <sheetData sheetId="11418" refreshError="1"/>
      <sheetData sheetId="11419" refreshError="1"/>
      <sheetData sheetId="11420" refreshError="1"/>
      <sheetData sheetId="11421"/>
      <sheetData sheetId="11422"/>
      <sheetData sheetId="11423"/>
      <sheetData sheetId="11424"/>
      <sheetData sheetId="11425"/>
      <sheetData sheetId="11426"/>
      <sheetData sheetId="11427"/>
      <sheetData sheetId="11428"/>
      <sheetData sheetId="11429"/>
      <sheetData sheetId="11430"/>
      <sheetData sheetId="11431"/>
      <sheetData sheetId="11432"/>
      <sheetData sheetId="11433"/>
      <sheetData sheetId="11434"/>
      <sheetData sheetId="11435"/>
      <sheetData sheetId="11436"/>
      <sheetData sheetId="11437"/>
      <sheetData sheetId="11438"/>
      <sheetData sheetId="11439"/>
      <sheetData sheetId="11440"/>
      <sheetData sheetId="11441"/>
      <sheetData sheetId="11442"/>
      <sheetData sheetId="11443"/>
      <sheetData sheetId="11444"/>
      <sheetData sheetId="11445"/>
      <sheetData sheetId="11446"/>
      <sheetData sheetId="11447"/>
      <sheetData sheetId="11448"/>
      <sheetData sheetId="11449"/>
      <sheetData sheetId="11450"/>
      <sheetData sheetId="11451"/>
      <sheetData sheetId="11452"/>
      <sheetData sheetId="11453"/>
      <sheetData sheetId="11454"/>
      <sheetData sheetId="11455"/>
      <sheetData sheetId="11456"/>
      <sheetData sheetId="11457"/>
      <sheetData sheetId="11458"/>
      <sheetData sheetId="11459"/>
      <sheetData sheetId="11460"/>
      <sheetData sheetId="11461"/>
      <sheetData sheetId="11462"/>
      <sheetData sheetId="11463"/>
      <sheetData sheetId="11464"/>
      <sheetData sheetId="11465"/>
      <sheetData sheetId="11466"/>
      <sheetData sheetId="11467"/>
      <sheetData sheetId="11468"/>
      <sheetData sheetId="11469"/>
      <sheetData sheetId="11470"/>
      <sheetData sheetId="11471"/>
      <sheetData sheetId="11472"/>
      <sheetData sheetId="11473"/>
      <sheetData sheetId="11474"/>
      <sheetData sheetId="11475"/>
      <sheetData sheetId="11476"/>
      <sheetData sheetId="11477"/>
      <sheetData sheetId="11478"/>
      <sheetData sheetId="11479"/>
      <sheetData sheetId="11480"/>
      <sheetData sheetId="11481"/>
      <sheetData sheetId="11482"/>
      <sheetData sheetId="11483"/>
      <sheetData sheetId="11484"/>
      <sheetData sheetId="11485"/>
      <sheetData sheetId="11486"/>
      <sheetData sheetId="11487"/>
      <sheetData sheetId="11488"/>
      <sheetData sheetId="11489"/>
      <sheetData sheetId="11490"/>
      <sheetData sheetId="11491"/>
      <sheetData sheetId="11492"/>
      <sheetData sheetId="11493"/>
      <sheetData sheetId="11494"/>
      <sheetData sheetId="11495"/>
      <sheetData sheetId="11496"/>
      <sheetData sheetId="11497"/>
      <sheetData sheetId="11498" refreshError="1"/>
      <sheetData sheetId="11499" refreshError="1"/>
      <sheetData sheetId="11500"/>
      <sheetData sheetId="11501"/>
      <sheetData sheetId="11502"/>
      <sheetData sheetId="11503"/>
      <sheetData sheetId="11504"/>
      <sheetData sheetId="11505"/>
      <sheetData sheetId="11506"/>
      <sheetData sheetId="11507"/>
      <sheetData sheetId="11508"/>
      <sheetData sheetId="11509"/>
      <sheetData sheetId="11510"/>
      <sheetData sheetId="11511"/>
      <sheetData sheetId="11512"/>
      <sheetData sheetId="11513"/>
      <sheetData sheetId="11514"/>
      <sheetData sheetId="11515"/>
      <sheetData sheetId="11516"/>
      <sheetData sheetId="11517"/>
      <sheetData sheetId="11518"/>
      <sheetData sheetId="11519"/>
      <sheetData sheetId="11520"/>
      <sheetData sheetId="11521"/>
      <sheetData sheetId="11522"/>
      <sheetData sheetId="11523"/>
      <sheetData sheetId="11524"/>
      <sheetData sheetId="11525"/>
      <sheetData sheetId="11526"/>
      <sheetData sheetId="11527"/>
      <sheetData sheetId="11528"/>
      <sheetData sheetId="11529"/>
      <sheetData sheetId="11530"/>
      <sheetData sheetId="11531"/>
      <sheetData sheetId="11532"/>
      <sheetData sheetId="11533"/>
      <sheetData sheetId="11534"/>
      <sheetData sheetId="11535"/>
      <sheetData sheetId="11536"/>
      <sheetData sheetId="11537"/>
      <sheetData sheetId="11538"/>
      <sheetData sheetId="11539"/>
      <sheetData sheetId="11540"/>
      <sheetData sheetId="11541"/>
      <sheetData sheetId="11542"/>
      <sheetData sheetId="11543"/>
      <sheetData sheetId="11544"/>
      <sheetData sheetId="11545"/>
      <sheetData sheetId="11546"/>
      <sheetData sheetId="11547"/>
      <sheetData sheetId="11548"/>
      <sheetData sheetId="11549"/>
      <sheetData sheetId="11550"/>
      <sheetData sheetId="11551"/>
      <sheetData sheetId="11552"/>
      <sheetData sheetId="11553"/>
      <sheetData sheetId="11554"/>
      <sheetData sheetId="11555"/>
      <sheetData sheetId="11556"/>
      <sheetData sheetId="11557"/>
      <sheetData sheetId="11558"/>
      <sheetData sheetId="11559"/>
      <sheetData sheetId="11560"/>
      <sheetData sheetId="11561"/>
      <sheetData sheetId="11562"/>
      <sheetData sheetId="11563"/>
      <sheetData sheetId="11564"/>
      <sheetData sheetId="11565"/>
      <sheetData sheetId="11566"/>
      <sheetData sheetId="11567"/>
      <sheetData sheetId="11568"/>
      <sheetData sheetId="11569"/>
      <sheetData sheetId="11570"/>
      <sheetData sheetId="11571"/>
      <sheetData sheetId="11572" refreshError="1"/>
      <sheetData sheetId="11573" refreshError="1"/>
      <sheetData sheetId="11574" refreshError="1"/>
      <sheetData sheetId="11575" refreshError="1"/>
      <sheetData sheetId="11576" refreshError="1"/>
      <sheetData sheetId="11577" refreshError="1"/>
      <sheetData sheetId="11578" refreshError="1"/>
      <sheetData sheetId="11579" refreshError="1"/>
      <sheetData sheetId="11580" refreshError="1"/>
      <sheetData sheetId="11581" refreshError="1"/>
      <sheetData sheetId="11582" refreshError="1"/>
      <sheetData sheetId="11583" refreshError="1"/>
      <sheetData sheetId="11584" refreshError="1"/>
      <sheetData sheetId="11585" refreshError="1"/>
      <sheetData sheetId="11586" refreshError="1"/>
      <sheetData sheetId="11587" refreshError="1"/>
      <sheetData sheetId="11588" refreshError="1"/>
      <sheetData sheetId="11589" refreshError="1"/>
      <sheetData sheetId="11590" refreshError="1"/>
      <sheetData sheetId="11591" refreshError="1"/>
      <sheetData sheetId="11592" refreshError="1"/>
      <sheetData sheetId="11593" refreshError="1"/>
      <sheetData sheetId="11594" refreshError="1"/>
      <sheetData sheetId="11595" refreshError="1"/>
      <sheetData sheetId="11596" refreshError="1"/>
      <sheetData sheetId="11597" refreshError="1"/>
      <sheetData sheetId="11598" refreshError="1"/>
      <sheetData sheetId="11599" refreshError="1"/>
      <sheetData sheetId="11600" refreshError="1"/>
      <sheetData sheetId="11601" refreshError="1"/>
      <sheetData sheetId="11602" refreshError="1"/>
      <sheetData sheetId="11603" refreshError="1"/>
      <sheetData sheetId="11604" refreshError="1"/>
      <sheetData sheetId="11605" refreshError="1"/>
      <sheetData sheetId="11606" refreshError="1"/>
      <sheetData sheetId="11607" refreshError="1"/>
      <sheetData sheetId="11608" refreshError="1"/>
      <sheetData sheetId="11609" refreshError="1"/>
      <sheetData sheetId="11610" refreshError="1"/>
      <sheetData sheetId="11611" refreshError="1"/>
      <sheetData sheetId="11612" refreshError="1"/>
      <sheetData sheetId="11613" refreshError="1"/>
      <sheetData sheetId="11614" refreshError="1"/>
      <sheetData sheetId="11615" refreshError="1"/>
      <sheetData sheetId="11616" refreshError="1"/>
      <sheetData sheetId="11617" refreshError="1"/>
      <sheetData sheetId="11618" refreshError="1"/>
      <sheetData sheetId="11619" refreshError="1"/>
      <sheetData sheetId="11620" refreshError="1"/>
      <sheetData sheetId="11621" refreshError="1"/>
      <sheetData sheetId="11622" refreshError="1"/>
      <sheetData sheetId="11623" refreshError="1"/>
      <sheetData sheetId="11624" refreshError="1"/>
      <sheetData sheetId="11625" refreshError="1"/>
      <sheetData sheetId="11626" refreshError="1"/>
      <sheetData sheetId="11627" refreshError="1"/>
      <sheetData sheetId="11628" refreshError="1"/>
      <sheetData sheetId="11629" refreshError="1"/>
      <sheetData sheetId="11630" refreshError="1"/>
      <sheetData sheetId="11631" refreshError="1"/>
      <sheetData sheetId="11632" refreshError="1"/>
      <sheetData sheetId="11633" refreshError="1"/>
      <sheetData sheetId="11634" refreshError="1"/>
      <sheetData sheetId="11635" refreshError="1"/>
      <sheetData sheetId="11636" refreshError="1"/>
      <sheetData sheetId="11637" refreshError="1"/>
      <sheetData sheetId="11638" refreshError="1"/>
      <sheetData sheetId="11639" refreshError="1"/>
      <sheetData sheetId="11640" refreshError="1"/>
      <sheetData sheetId="11641" refreshError="1"/>
      <sheetData sheetId="11642" refreshError="1"/>
      <sheetData sheetId="11643" refreshError="1"/>
      <sheetData sheetId="11644" refreshError="1"/>
      <sheetData sheetId="11645" refreshError="1"/>
      <sheetData sheetId="11646" refreshError="1"/>
      <sheetData sheetId="11647" refreshError="1"/>
      <sheetData sheetId="11648" refreshError="1"/>
      <sheetData sheetId="11649" refreshError="1"/>
      <sheetData sheetId="11650" refreshError="1"/>
      <sheetData sheetId="11651" refreshError="1"/>
      <sheetData sheetId="11652" refreshError="1"/>
      <sheetData sheetId="11653" refreshError="1"/>
      <sheetData sheetId="11654" refreshError="1"/>
      <sheetData sheetId="11655" refreshError="1"/>
      <sheetData sheetId="11656" refreshError="1"/>
      <sheetData sheetId="11657" refreshError="1"/>
      <sheetData sheetId="11658" refreshError="1"/>
      <sheetData sheetId="11659" refreshError="1"/>
      <sheetData sheetId="11660" refreshError="1"/>
      <sheetData sheetId="11661" refreshError="1"/>
      <sheetData sheetId="11662" refreshError="1"/>
      <sheetData sheetId="11663" refreshError="1"/>
      <sheetData sheetId="11664" refreshError="1"/>
      <sheetData sheetId="11665" refreshError="1"/>
      <sheetData sheetId="11666" refreshError="1"/>
      <sheetData sheetId="11667" refreshError="1"/>
      <sheetData sheetId="11668" refreshError="1"/>
      <sheetData sheetId="11669" refreshError="1"/>
      <sheetData sheetId="11670" refreshError="1"/>
      <sheetData sheetId="11671" refreshError="1"/>
      <sheetData sheetId="11672" refreshError="1"/>
      <sheetData sheetId="11673" refreshError="1"/>
      <sheetData sheetId="11674" refreshError="1"/>
      <sheetData sheetId="11675" refreshError="1"/>
      <sheetData sheetId="11676" refreshError="1"/>
      <sheetData sheetId="11677" refreshError="1"/>
      <sheetData sheetId="11678" refreshError="1"/>
      <sheetData sheetId="11679" refreshError="1"/>
      <sheetData sheetId="11680" refreshError="1"/>
      <sheetData sheetId="11681" refreshError="1"/>
      <sheetData sheetId="11682" refreshError="1"/>
      <sheetData sheetId="11683" refreshError="1"/>
      <sheetData sheetId="11684" refreshError="1"/>
      <sheetData sheetId="11685" refreshError="1"/>
      <sheetData sheetId="11686" refreshError="1"/>
      <sheetData sheetId="11687" refreshError="1"/>
      <sheetData sheetId="11688" refreshError="1"/>
      <sheetData sheetId="11689" refreshError="1"/>
      <sheetData sheetId="11690" refreshError="1"/>
      <sheetData sheetId="11691" refreshError="1"/>
      <sheetData sheetId="11692" refreshError="1"/>
      <sheetData sheetId="11693" refreshError="1"/>
      <sheetData sheetId="11694" refreshError="1"/>
      <sheetData sheetId="11695" refreshError="1"/>
      <sheetData sheetId="11696" refreshError="1"/>
      <sheetData sheetId="11697" refreshError="1"/>
      <sheetData sheetId="11698" refreshError="1"/>
      <sheetData sheetId="11699" refreshError="1"/>
      <sheetData sheetId="11700" refreshError="1"/>
      <sheetData sheetId="11701" refreshError="1"/>
      <sheetData sheetId="11702" refreshError="1"/>
      <sheetData sheetId="11703" refreshError="1"/>
      <sheetData sheetId="11704" refreshError="1"/>
      <sheetData sheetId="11705" refreshError="1"/>
      <sheetData sheetId="11706" refreshError="1"/>
      <sheetData sheetId="11707" refreshError="1"/>
      <sheetData sheetId="11708" refreshError="1"/>
      <sheetData sheetId="11709" refreshError="1"/>
      <sheetData sheetId="11710" refreshError="1"/>
      <sheetData sheetId="11711" refreshError="1"/>
      <sheetData sheetId="11712" refreshError="1"/>
      <sheetData sheetId="11713" refreshError="1"/>
      <sheetData sheetId="11714" refreshError="1"/>
      <sheetData sheetId="11715" refreshError="1"/>
      <sheetData sheetId="11716" refreshError="1"/>
      <sheetData sheetId="11717" refreshError="1"/>
      <sheetData sheetId="11718" refreshError="1"/>
      <sheetData sheetId="11719" refreshError="1"/>
      <sheetData sheetId="11720" refreshError="1"/>
      <sheetData sheetId="11721" refreshError="1"/>
      <sheetData sheetId="11722" refreshError="1"/>
      <sheetData sheetId="11723" refreshError="1"/>
      <sheetData sheetId="11724" refreshError="1"/>
      <sheetData sheetId="11725" refreshError="1"/>
      <sheetData sheetId="11726" refreshError="1"/>
      <sheetData sheetId="11727" refreshError="1"/>
      <sheetData sheetId="11728" refreshError="1"/>
      <sheetData sheetId="11729" refreshError="1"/>
      <sheetData sheetId="11730" refreshError="1"/>
      <sheetData sheetId="11731" refreshError="1"/>
      <sheetData sheetId="11732" refreshError="1"/>
      <sheetData sheetId="11733" refreshError="1"/>
      <sheetData sheetId="11734" refreshError="1"/>
      <sheetData sheetId="11735" refreshError="1"/>
      <sheetData sheetId="11736" refreshError="1"/>
      <sheetData sheetId="11737" refreshError="1"/>
      <sheetData sheetId="11738" refreshError="1"/>
      <sheetData sheetId="11739" refreshError="1"/>
      <sheetData sheetId="11740" refreshError="1"/>
      <sheetData sheetId="11741" refreshError="1"/>
      <sheetData sheetId="11742" refreshError="1"/>
      <sheetData sheetId="11743" refreshError="1"/>
      <sheetData sheetId="11744" refreshError="1"/>
      <sheetData sheetId="11745" refreshError="1"/>
      <sheetData sheetId="11746" refreshError="1"/>
      <sheetData sheetId="11747" refreshError="1"/>
      <sheetData sheetId="11748" refreshError="1"/>
      <sheetData sheetId="11749" refreshError="1"/>
      <sheetData sheetId="11750" refreshError="1"/>
      <sheetData sheetId="11751" refreshError="1"/>
      <sheetData sheetId="11752" refreshError="1"/>
      <sheetData sheetId="11753" refreshError="1"/>
      <sheetData sheetId="11754" refreshError="1"/>
      <sheetData sheetId="11755" refreshError="1"/>
      <sheetData sheetId="11756" refreshError="1"/>
      <sheetData sheetId="11757" refreshError="1"/>
      <sheetData sheetId="11758" refreshError="1"/>
      <sheetData sheetId="11759" refreshError="1"/>
      <sheetData sheetId="11760" refreshError="1"/>
      <sheetData sheetId="11761" refreshError="1"/>
      <sheetData sheetId="11762" refreshError="1"/>
      <sheetData sheetId="11763" refreshError="1"/>
      <sheetData sheetId="11764" refreshError="1"/>
      <sheetData sheetId="11765" refreshError="1"/>
      <sheetData sheetId="11766" refreshError="1"/>
      <sheetData sheetId="11767" refreshError="1"/>
      <sheetData sheetId="11768" refreshError="1"/>
      <sheetData sheetId="11769" refreshError="1"/>
      <sheetData sheetId="11770" refreshError="1"/>
      <sheetData sheetId="11771" refreshError="1"/>
      <sheetData sheetId="11772" refreshError="1"/>
      <sheetData sheetId="11773" refreshError="1"/>
      <sheetData sheetId="11774" refreshError="1"/>
      <sheetData sheetId="11775" refreshError="1"/>
      <sheetData sheetId="11776" refreshError="1"/>
      <sheetData sheetId="11777" refreshError="1"/>
      <sheetData sheetId="11778" refreshError="1"/>
      <sheetData sheetId="11779" refreshError="1"/>
      <sheetData sheetId="11780" refreshError="1"/>
      <sheetData sheetId="11781" refreshError="1"/>
      <sheetData sheetId="11782" refreshError="1"/>
      <sheetData sheetId="11783" refreshError="1"/>
      <sheetData sheetId="11784" refreshError="1"/>
      <sheetData sheetId="11785" refreshError="1"/>
      <sheetData sheetId="11786" refreshError="1"/>
      <sheetData sheetId="11787" refreshError="1"/>
      <sheetData sheetId="11788" refreshError="1"/>
      <sheetData sheetId="11789" refreshError="1"/>
      <sheetData sheetId="11790" refreshError="1"/>
      <sheetData sheetId="11791" refreshError="1"/>
      <sheetData sheetId="11792" refreshError="1"/>
      <sheetData sheetId="11793" refreshError="1"/>
      <sheetData sheetId="11794" refreshError="1"/>
      <sheetData sheetId="11795" refreshError="1"/>
      <sheetData sheetId="11796" refreshError="1"/>
      <sheetData sheetId="11797" refreshError="1"/>
      <sheetData sheetId="11798" refreshError="1"/>
      <sheetData sheetId="11799" refreshError="1"/>
      <sheetData sheetId="11800" refreshError="1"/>
      <sheetData sheetId="11801" refreshError="1"/>
      <sheetData sheetId="11802" refreshError="1"/>
      <sheetData sheetId="11803" refreshError="1"/>
      <sheetData sheetId="11804" refreshError="1"/>
      <sheetData sheetId="11805" refreshError="1"/>
      <sheetData sheetId="11806" refreshError="1"/>
      <sheetData sheetId="11807" refreshError="1"/>
      <sheetData sheetId="11808" refreshError="1"/>
      <sheetData sheetId="11809" refreshError="1"/>
      <sheetData sheetId="11810" refreshError="1"/>
      <sheetData sheetId="11811" refreshError="1"/>
      <sheetData sheetId="11812" refreshError="1"/>
      <sheetData sheetId="11813" refreshError="1"/>
      <sheetData sheetId="11814" refreshError="1"/>
      <sheetData sheetId="11815" refreshError="1"/>
      <sheetData sheetId="11816" refreshError="1"/>
      <sheetData sheetId="11817" refreshError="1"/>
      <sheetData sheetId="11818" refreshError="1"/>
      <sheetData sheetId="11819" refreshError="1"/>
      <sheetData sheetId="11820" refreshError="1"/>
      <sheetData sheetId="11821" refreshError="1"/>
      <sheetData sheetId="11822" refreshError="1"/>
      <sheetData sheetId="11823" refreshError="1"/>
      <sheetData sheetId="11824" refreshError="1"/>
      <sheetData sheetId="11825" refreshError="1"/>
      <sheetData sheetId="11826" refreshError="1"/>
      <sheetData sheetId="11827" refreshError="1"/>
      <sheetData sheetId="11828" refreshError="1"/>
      <sheetData sheetId="11829" refreshError="1"/>
      <sheetData sheetId="11830" refreshError="1"/>
      <sheetData sheetId="11831" refreshError="1"/>
      <sheetData sheetId="11832" refreshError="1"/>
      <sheetData sheetId="11833" refreshError="1"/>
      <sheetData sheetId="11834" refreshError="1"/>
      <sheetData sheetId="11835" refreshError="1"/>
      <sheetData sheetId="11836" refreshError="1"/>
      <sheetData sheetId="11837" refreshError="1"/>
      <sheetData sheetId="11838" refreshError="1"/>
      <sheetData sheetId="11839" refreshError="1"/>
      <sheetData sheetId="11840" refreshError="1"/>
      <sheetData sheetId="11841" refreshError="1"/>
      <sheetData sheetId="11842" refreshError="1"/>
      <sheetData sheetId="11843" refreshError="1"/>
      <sheetData sheetId="11844" refreshError="1"/>
      <sheetData sheetId="11845" refreshError="1"/>
      <sheetData sheetId="11846" refreshError="1"/>
      <sheetData sheetId="11847" refreshError="1"/>
      <sheetData sheetId="11848" refreshError="1"/>
      <sheetData sheetId="11849" refreshError="1"/>
      <sheetData sheetId="11850" refreshError="1"/>
      <sheetData sheetId="11851" refreshError="1"/>
      <sheetData sheetId="11852" refreshError="1"/>
      <sheetData sheetId="11853" refreshError="1"/>
      <sheetData sheetId="11854" refreshError="1"/>
      <sheetData sheetId="11855" refreshError="1"/>
      <sheetData sheetId="11856" refreshError="1"/>
      <sheetData sheetId="11857" refreshError="1"/>
      <sheetData sheetId="11858" refreshError="1"/>
      <sheetData sheetId="11859" refreshError="1"/>
      <sheetData sheetId="11860" refreshError="1"/>
      <sheetData sheetId="11861" refreshError="1"/>
      <sheetData sheetId="11862" refreshError="1"/>
      <sheetData sheetId="11863" refreshError="1"/>
      <sheetData sheetId="11864" refreshError="1"/>
      <sheetData sheetId="11865" refreshError="1"/>
      <sheetData sheetId="11866" refreshError="1"/>
      <sheetData sheetId="11867" refreshError="1"/>
      <sheetData sheetId="11868" refreshError="1"/>
      <sheetData sheetId="11869" refreshError="1"/>
      <sheetData sheetId="11870" refreshError="1"/>
      <sheetData sheetId="11871" refreshError="1"/>
      <sheetData sheetId="11872" refreshError="1"/>
      <sheetData sheetId="11873" refreshError="1"/>
      <sheetData sheetId="11874" refreshError="1"/>
      <sheetData sheetId="11875" refreshError="1"/>
      <sheetData sheetId="11876" refreshError="1"/>
      <sheetData sheetId="11877" refreshError="1"/>
      <sheetData sheetId="11878" refreshError="1"/>
      <sheetData sheetId="11879" refreshError="1"/>
      <sheetData sheetId="11880" refreshError="1"/>
      <sheetData sheetId="11881" refreshError="1"/>
      <sheetData sheetId="11882" refreshError="1"/>
      <sheetData sheetId="11883" refreshError="1"/>
      <sheetData sheetId="11884" refreshError="1"/>
      <sheetData sheetId="11885" refreshError="1"/>
      <sheetData sheetId="11886" refreshError="1"/>
      <sheetData sheetId="11887" refreshError="1"/>
      <sheetData sheetId="11888" refreshError="1"/>
      <sheetData sheetId="11889" refreshError="1"/>
      <sheetData sheetId="11890" refreshError="1"/>
      <sheetData sheetId="11891" refreshError="1"/>
      <sheetData sheetId="11892" refreshError="1"/>
      <sheetData sheetId="11893" refreshError="1"/>
      <sheetData sheetId="11894" refreshError="1"/>
      <sheetData sheetId="11895" refreshError="1"/>
      <sheetData sheetId="11896" refreshError="1"/>
      <sheetData sheetId="11897" refreshError="1"/>
      <sheetData sheetId="11898" refreshError="1"/>
      <sheetData sheetId="11899" refreshError="1"/>
      <sheetData sheetId="11900" refreshError="1"/>
      <sheetData sheetId="11901" refreshError="1"/>
      <sheetData sheetId="11902" refreshError="1"/>
      <sheetData sheetId="11903" refreshError="1"/>
      <sheetData sheetId="11904" refreshError="1"/>
      <sheetData sheetId="11905" refreshError="1"/>
      <sheetData sheetId="11906" refreshError="1"/>
      <sheetData sheetId="11907" refreshError="1"/>
      <sheetData sheetId="11908" refreshError="1"/>
      <sheetData sheetId="11909" refreshError="1"/>
      <sheetData sheetId="11910" refreshError="1"/>
      <sheetData sheetId="11911" refreshError="1"/>
      <sheetData sheetId="11912" refreshError="1"/>
      <sheetData sheetId="11913" refreshError="1"/>
      <sheetData sheetId="11914" refreshError="1"/>
      <sheetData sheetId="11915" refreshError="1"/>
      <sheetData sheetId="11916" refreshError="1"/>
      <sheetData sheetId="11917" refreshError="1"/>
      <sheetData sheetId="11918" refreshError="1"/>
      <sheetData sheetId="11919" refreshError="1"/>
      <sheetData sheetId="11920" refreshError="1"/>
      <sheetData sheetId="11921" refreshError="1"/>
      <sheetData sheetId="11922" refreshError="1"/>
      <sheetData sheetId="11923" refreshError="1"/>
      <sheetData sheetId="11924" refreshError="1"/>
      <sheetData sheetId="11925" refreshError="1"/>
      <sheetData sheetId="11926" refreshError="1"/>
      <sheetData sheetId="11927" refreshError="1"/>
      <sheetData sheetId="11928" refreshError="1"/>
      <sheetData sheetId="11929" refreshError="1"/>
      <sheetData sheetId="11930" refreshError="1"/>
      <sheetData sheetId="11931" refreshError="1"/>
      <sheetData sheetId="11932" refreshError="1"/>
      <sheetData sheetId="11933" refreshError="1"/>
      <sheetData sheetId="11934" refreshError="1"/>
      <sheetData sheetId="11935" refreshError="1"/>
      <sheetData sheetId="11936" refreshError="1"/>
      <sheetData sheetId="11937" refreshError="1"/>
      <sheetData sheetId="11938" refreshError="1"/>
      <sheetData sheetId="11939" refreshError="1"/>
      <sheetData sheetId="11940" refreshError="1"/>
      <sheetData sheetId="11941" refreshError="1"/>
      <sheetData sheetId="11942" refreshError="1"/>
      <sheetData sheetId="11943" refreshError="1"/>
      <sheetData sheetId="11944" refreshError="1"/>
      <sheetData sheetId="11945" refreshError="1"/>
      <sheetData sheetId="11946" refreshError="1"/>
      <sheetData sheetId="11947" refreshError="1"/>
      <sheetData sheetId="11948" refreshError="1"/>
      <sheetData sheetId="11949" refreshError="1"/>
      <sheetData sheetId="11950" refreshError="1"/>
      <sheetData sheetId="11951" refreshError="1"/>
      <sheetData sheetId="11952" refreshError="1"/>
      <sheetData sheetId="11953" refreshError="1"/>
      <sheetData sheetId="11954" refreshError="1"/>
      <sheetData sheetId="11955" refreshError="1"/>
      <sheetData sheetId="11956" refreshError="1"/>
      <sheetData sheetId="11957" refreshError="1"/>
      <sheetData sheetId="11958" refreshError="1"/>
      <sheetData sheetId="11959" refreshError="1"/>
      <sheetData sheetId="11960" refreshError="1"/>
      <sheetData sheetId="11961" refreshError="1"/>
      <sheetData sheetId="11962" refreshError="1"/>
      <sheetData sheetId="11963" refreshError="1"/>
      <sheetData sheetId="11964" refreshError="1"/>
      <sheetData sheetId="11965" refreshError="1"/>
      <sheetData sheetId="11966" refreshError="1"/>
      <sheetData sheetId="11967" refreshError="1"/>
      <sheetData sheetId="11968" refreshError="1"/>
      <sheetData sheetId="11969" refreshError="1"/>
      <sheetData sheetId="11970" refreshError="1"/>
      <sheetData sheetId="11971" refreshError="1"/>
      <sheetData sheetId="11972" refreshError="1"/>
      <sheetData sheetId="11973" refreshError="1"/>
      <sheetData sheetId="11974" refreshError="1"/>
      <sheetData sheetId="11975" refreshError="1"/>
      <sheetData sheetId="11976" refreshError="1"/>
      <sheetData sheetId="11977" refreshError="1"/>
      <sheetData sheetId="11978" refreshError="1"/>
      <sheetData sheetId="11979" refreshError="1"/>
      <sheetData sheetId="11980" refreshError="1"/>
      <sheetData sheetId="11981" refreshError="1"/>
      <sheetData sheetId="11982" refreshError="1"/>
      <sheetData sheetId="11983" refreshError="1"/>
      <sheetData sheetId="11984" refreshError="1"/>
      <sheetData sheetId="11985" refreshError="1"/>
      <sheetData sheetId="11986" refreshError="1"/>
      <sheetData sheetId="11987" refreshError="1"/>
      <sheetData sheetId="11988" refreshError="1"/>
      <sheetData sheetId="11989" refreshError="1"/>
      <sheetData sheetId="11990" refreshError="1"/>
      <sheetData sheetId="11991" refreshError="1"/>
      <sheetData sheetId="11992" refreshError="1"/>
      <sheetData sheetId="11993" refreshError="1"/>
      <sheetData sheetId="11994" refreshError="1"/>
      <sheetData sheetId="11995" refreshError="1"/>
      <sheetData sheetId="11996" refreshError="1"/>
      <sheetData sheetId="11997" refreshError="1"/>
      <sheetData sheetId="11998" refreshError="1"/>
      <sheetData sheetId="11999" refreshError="1"/>
      <sheetData sheetId="12000" refreshError="1"/>
      <sheetData sheetId="12001" refreshError="1"/>
      <sheetData sheetId="12002" refreshError="1"/>
      <sheetData sheetId="12003" refreshError="1"/>
      <sheetData sheetId="12004" refreshError="1"/>
      <sheetData sheetId="12005" refreshError="1"/>
      <sheetData sheetId="12006" refreshError="1"/>
      <sheetData sheetId="12007" refreshError="1"/>
      <sheetData sheetId="12008" refreshError="1"/>
      <sheetData sheetId="12009" refreshError="1"/>
      <sheetData sheetId="12010" refreshError="1"/>
      <sheetData sheetId="12011" refreshError="1"/>
      <sheetData sheetId="12012" refreshError="1"/>
      <sheetData sheetId="12013" refreshError="1"/>
      <sheetData sheetId="12014" refreshError="1"/>
      <sheetData sheetId="12015" refreshError="1"/>
      <sheetData sheetId="12016" refreshError="1"/>
      <sheetData sheetId="12017" refreshError="1"/>
      <sheetData sheetId="12018" refreshError="1"/>
      <sheetData sheetId="12019" refreshError="1"/>
      <sheetData sheetId="12020" refreshError="1"/>
      <sheetData sheetId="12021" refreshError="1"/>
      <sheetData sheetId="12022" refreshError="1"/>
      <sheetData sheetId="12023" refreshError="1"/>
      <sheetData sheetId="12024" refreshError="1"/>
      <sheetData sheetId="12025" refreshError="1"/>
      <sheetData sheetId="12026" refreshError="1"/>
      <sheetData sheetId="12027" refreshError="1"/>
      <sheetData sheetId="12028" refreshError="1"/>
      <sheetData sheetId="12029" refreshError="1"/>
      <sheetData sheetId="12030" refreshError="1"/>
      <sheetData sheetId="12031" refreshError="1"/>
      <sheetData sheetId="12032" refreshError="1"/>
      <sheetData sheetId="12033" refreshError="1"/>
      <sheetData sheetId="12034" refreshError="1"/>
      <sheetData sheetId="12035" refreshError="1"/>
      <sheetData sheetId="12036" refreshError="1"/>
      <sheetData sheetId="12037" refreshError="1"/>
      <sheetData sheetId="12038" refreshError="1"/>
      <sheetData sheetId="12039" refreshError="1"/>
      <sheetData sheetId="12040" refreshError="1"/>
      <sheetData sheetId="12041" refreshError="1"/>
      <sheetData sheetId="12042" refreshError="1"/>
      <sheetData sheetId="12043" refreshError="1"/>
      <sheetData sheetId="12044" refreshError="1"/>
      <sheetData sheetId="12045" refreshError="1"/>
      <sheetData sheetId="12046" refreshError="1"/>
      <sheetData sheetId="12047" refreshError="1"/>
      <sheetData sheetId="12048" refreshError="1"/>
      <sheetData sheetId="12049" refreshError="1"/>
      <sheetData sheetId="12050" refreshError="1"/>
      <sheetData sheetId="12051" refreshError="1"/>
      <sheetData sheetId="12052" refreshError="1"/>
      <sheetData sheetId="12053" refreshError="1"/>
      <sheetData sheetId="12054" refreshError="1"/>
      <sheetData sheetId="12055" refreshError="1"/>
      <sheetData sheetId="12056" refreshError="1"/>
      <sheetData sheetId="12057" refreshError="1"/>
      <sheetData sheetId="12058" refreshError="1"/>
      <sheetData sheetId="12059" refreshError="1"/>
      <sheetData sheetId="12060" refreshError="1"/>
      <sheetData sheetId="12061" refreshError="1"/>
      <sheetData sheetId="12062" refreshError="1"/>
      <sheetData sheetId="12063" refreshError="1"/>
      <sheetData sheetId="12064" refreshError="1"/>
      <sheetData sheetId="12065" refreshError="1"/>
      <sheetData sheetId="12066" refreshError="1"/>
      <sheetData sheetId="12067" refreshError="1"/>
      <sheetData sheetId="12068" refreshError="1"/>
      <sheetData sheetId="12069" refreshError="1"/>
      <sheetData sheetId="12070" refreshError="1"/>
      <sheetData sheetId="12071" refreshError="1"/>
      <sheetData sheetId="12072" refreshError="1"/>
      <sheetData sheetId="12073" refreshError="1"/>
      <sheetData sheetId="12074" refreshError="1"/>
      <sheetData sheetId="12075" refreshError="1"/>
      <sheetData sheetId="12076" refreshError="1"/>
      <sheetData sheetId="12077" refreshError="1"/>
      <sheetData sheetId="12078" refreshError="1"/>
      <sheetData sheetId="12079" refreshError="1"/>
      <sheetData sheetId="12080" refreshError="1"/>
      <sheetData sheetId="12081" refreshError="1"/>
      <sheetData sheetId="12082" refreshError="1"/>
      <sheetData sheetId="12083" refreshError="1"/>
      <sheetData sheetId="12084" refreshError="1"/>
      <sheetData sheetId="12085" refreshError="1"/>
      <sheetData sheetId="12086" refreshError="1"/>
      <sheetData sheetId="12087" refreshError="1"/>
      <sheetData sheetId="12088" refreshError="1"/>
      <sheetData sheetId="12089" refreshError="1"/>
      <sheetData sheetId="12090" refreshError="1"/>
      <sheetData sheetId="12091" refreshError="1"/>
      <sheetData sheetId="12092" refreshError="1"/>
      <sheetData sheetId="12093" refreshError="1"/>
      <sheetData sheetId="12094" refreshError="1"/>
      <sheetData sheetId="12095" refreshError="1"/>
      <sheetData sheetId="12096" refreshError="1"/>
      <sheetData sheetId="12097" refreshError="1"/>
      <sheetData sheetId="12098" refreshError="1"/>
      <sheetData sheetId="12099" refreshError="1"/>
      <sheetData sheetId="12100" refreshError="1"/>
      <sheetData sheetId="12101" refreshError="1"/>
      <sheetData sheetId="12102" refreshError="1"/>
      <sheetData sheetId="12103" refreshError="1"/>
      <sheetData sheetId="12104" refreshError="1"/>
      <sheetData sheetId="12105" refreshError="1"/>
      <sheetData sheetId="12106" refreshError="1"/>
      <sheetData sheetId="12107" refreshError="1"/>
      <sheetData sheetId="12108" refreshError="1"/>
      <sheetData sheetId="12109" refreshError="1"/>
      <sheetData sheetId="12110" refreshError="1"/>
      <sheetData sheetId="12111" refreshError="1"/>
      <sheetData sheetId="12112" refreshError="1"/>
      <sheetData sheetId="12113" refreshError="1"/>
      <sheetData sheetId="12114" refreshError="1"/>
      <sheetData sheetId="12115" refreshError="1"/>
      <sheetData sheetId="12116" refreshError="1"/>
      <sheetData sheetId="12117" refreshError="1"/>
      <sheetData sheetId="12118" refreshError="1"/>
      <sheetData sheetId="12119" refreshError="1"/>
      <sheetData sheetId="12120" refreshError="1"/>
      <sheetData sheetId="12121" refreshError="1"/>
      <sheetData sheetId="12122" refreshError="1"/>
      <sheetData sheetId="12123" refreshError="1"/>
      <sheetData sheetId="12124" refreshError="1"/>
      <sheetData sheetId="12125" refreshError="1"/>
      <sheetData sheetId="12126" refreshError="1"/>
      <sheetData sheetId="12127" refreshError="1"/>
      <sheetData sheetId="12128" refreshError="1"/>
      <sheetData sheetId="12129" refreshError="1"/>
      <sheetData sheetId="12130" refreshError="1"/>
      <sheetData sheetId="12131" refreshError="1"/>
      <sheetData sheetId="12132" refreshError="1"/>
      <sheetData sheetId="12133" refreshError="1"/>
      <sheetData sheetId="12134" refreshError="1"/>
      <sheetData sheetId="12135" refreshError="1"/>
      <sheetData sheetId="12136" refreshError="1"/>
      <sheetData sheetId="12137" refreshError="1"/>
      <sheetData sheetId="12138" refreshError="1"/>
      <sheetData sheetId="12139" refreshError="1"/>
      <sheetData sheetId="12140" refreshError="1"/>
      <sheetData sheetId="12141" refreshError="1"/>
      <sheetData sheetId="12142" refreshError="1"/>
      <sheetData sheetId="12143" refreshError="1"/>
      <sheetData sheetId="12144" refreshError="1"/>
      <sheetData sheetId="12145" refreshError="1"/>
      <sheetData sheetId="12146" refreshError="1"/>
      <sheetData sheetId="12147" refreshError="1"/>
      <sheetData sheetId="12148" refreshError="1"/>
      <sheetData sheetId="12149" refreshError="1"/>
      <sheetData sheetId="12150" refreshError="1"/>
      <sheetData sheetId="12151" refreshError="1"/>
      <sheetData sheetId="12152" refreshError="1"/>
      <sheetData sheetId="12153" refreshError="1"/>
      <sheetData sheetId="12154" refreshError="1"/>
      <sheetData sheetId="12155" refreshError="1"/>
      <sheetData sheetId="12156"/>
      <sheetData sheetId="12157"/>
      <sheetData sheetId="12158"/>
      <sheetData sheetId="12159"/>
      <sheetData sheetId="12160"/>
      <sheetData sheetId="12161"/>
      <sheetData sheetId="12162"/>
      <sheetData sheetId="12163"/>
      <sheetData sheetId="12164"/>
      <sheetData sheetId="12165"/>
      <sheetData sheetId="12166"/>
      <sheetData sheetId="12167"/>
      <sheetData sheetId="12168"/>
      <sheetData sheetId="12169"/>
      <sheetData sheetId="12170"/>
      <sheetData sheetId="12171"/>
      <sheetData sheetId="12172"/>
      <sheetData sheetId="12173"/>
      <sheetData sheetId="12174"/>
      <sheetData sheetId="12175"/>
      <sheetData sheetId="12176"/>
      <sheetData sheetId="12177"/>
      <sheetData sheetId="12178"/>
      <sheetData sheetId="12179"/>
      <sheetData sheetId="12180"/>
      <sheetData sheetId="12181"/>
      <sheetData sheetId="12182"/>
      <sheetData sheetId="12183"/>
      <sheetData sheetId="12184"/>
      <sheetData sheetId="12185"/>
      <sheetData sheetId="12186"/>
      <sheetData sheetId="12187"/>
      <sheetData sheetId="12188"/>
      <sheetData sheetId="12189"/>
      <sheetData sheetId="12190"/>
      <sheetData sheetId="12191"/>
      <sheetData sheetId="12192"/>
      <sheetData sheetId="12193"/>
      <sheetData sheetId="12194"/>
      <sheetData sheetId="12195"/>
      <sheetData sheetId="12196"/>
      <sheetData sheetId="12197"/>
      <sheetData sheetId="12198"/>
      <sheetData sheetId="12199"/>
      <sheetData sheetId="12200"/>
      <sheetData sheetId="12201"/>
      <sheetData sheetId="12202"/>
      <sheetData sheetId="12203"/>
      <sheetData sheetId="12204"/>
      <sheetData sheetId="12205"/>
      <sheetData sheetId="12206"/>
      <sheetData sheetId="12207"/>
      <sheetData sheetId="12208"/>
      <sheetData sheetId="12209"/>
      <sheetData sheetId="12210"/>
      <sheetData sheetId="12211"/>
      <sheetData sheetId="12212"/>
      <sheetData sheetId="12213"/>
      <sheetData sheetId="12214"/>
      <sheetData sheetId="12215"/>
      <sheetData sheetId="12216"/>
      <sheetData sheetId="12217"/>
      <sheetData sheetId="12218"/>
      <sheetData sheetId="12219"/>
      <sheetData sheetId="12220"/>
      <sheetData sheetId="12221"/>
      <sheetData sheetId="12222"/>
      <sheetData sheetId="12223"/>
      <sheetData sheetId="12224"/>
      <sheetData sheetId="12225"/>
      <sheetData sheetId="12226"/>
      <sheetData sheetId="12227"/>
      <sheetData sheetId="12228"/>
      <sheetData sheetId="12229"/>
      <sheetData sheetId="12230"/>
      <sheetData sheetId="12231"/>
      <sheetData sheetId="12232"/>
      <sheetData sheetId="12233"/>
      <sheetData sheetId="12234"/>
      <sheetData sheetId="12235"/>
      <sheetData sheetId="12236"/>
      <sheetData sheetId="12237"/>
      <sheetData sheetId="12238"/>
      <sheetData sheetId="12239"/>
      <sheetData sheetId="12240"/>
      <sheetData sheetId="12241"/>
      <sheetData sheetId="12242"/>
      <sheetData sheetId="12243"/>
      <sheetData sheetId="12244"/>
      <sheetData sheetId="12245"/>
      <sheetData sheetId="12246"/>
      <sheetData sheetId="12247"/>
      <sheetData sheetId="12248"/>
      <sheetData sheetId="12249"/>
      <sheetData sheetId="12250"/>
      <sheetData sheetId="12251"/>
      <sheetData sheetId="12252"/>
      <sheetData sheetId="12253"/>
      <sheetData sheetId="12254"/>
      <sheetData sheetId="12255"/>
      <sheetData sheetId="12256"/>
      <sheetData sheetId="12257"/>
      <sheetData sheetId="12258"/>
      <sheetData sheetId="12259"/>
      <sheetData sheetId="12260"/>
      <sheetData sheetId="12261"/>
      <sheetData sheetId="12262"/>
      <sheetData sheetId="12263"/>
      <sheetData sheetId="12264"/>
      <sheetData sheetId="12265"/>
      <sheetData sheetId="12266"/>
      <sheetData sheetId="12267"/>
      <sheetData sheetId="12268"/>
      <sheetData sheetId="12269"/>
      <sheetData sheetId="12270"/>
      <sheetData sheetId="12271"/>
      <sheetData sheetId="12272"/>
      <sheetData sheetId="12273"/>
      <sheetData sheetId="12274"/>
      <sheetData sheetId="12275"/>
      <sheetData sheetId="12276"/>
      <sheetData sheetId="12277"/>
      <sheetData sheetId="12278"/>
      <sheetData sheetId="12279"/>
      <sheetData sheetId="12280"/>
      <sheetData sheetId="12281"/>
      <sheetData sheetId="12282"/>
      <sheetData sheetId="12283"/>
      <sheetData sheetId="12284"/>
      <sheetData sheetId="12285"/>
      <sheetData sheetId="12286"/>
      <sheetData sheetId="12287"/>
      <sheetData sheetId="12288"/>
      <sheetData sheetId="12289"/>
      <sheetData sheetId="12290"/>
      <sheetData sheetId="12291"/>
      <sheetData sheetId="12292"/>
      <sheetData sheetId="12293"/>
      <sheetData sheetId="12294"/>
      <sheetData sheetId="12295"/>
      <sheetData sheetId="12296"/>
      <sheetData sheetId="12297"/>
      <sheetData sheetId="12298"/>
      <sheetData sheetId="12299"/>
      <sheetData sheetId="12300"/>
      <sheetData sheetId="12301"/>
      <sheetData sheetId="12302"/>
      <sheetData sheetId="12303"/>
      <sheetData sheetId="12304"/>
      <sheetData sheetId="12305"/>
      <sheetData sheetId="12306"/>
      <sheetData sheetId="12307"/>
      <sheetData sheetId="12308"/>
      <sheetData sheetId="12309"/>
      <sheetData sheetId="12310"/>
      <sheetData sheetId="12311"/>
      <sheetData sheetId="12312"/>
      <sheetData sheetId="12313"/>
      <sheetData sheetId="12314"/>
      <sheetData sheetId="12315"/>
      <sheetData sheetId="12316"/>
      <sheetData sheetId="12317"/>
      <sheetData sheetId="12318"/>
      <sheetData sheetId="12319"/>
      <sheetData sheetId="12320"/>
      <sheetData sheetId="12321"/>
      <sheetData sheetId="12322"/>
      <sheetData sheetId="12323"/>
      <sheetData sheetId="12324"/>
      <sheetData sheetId="12325"/>
      <sheetData sheetId="12326"/>
      <sheetData sheetId="12327"/>
      <sheetData sheetId="12328"/>
      <sheetData sheetId="12329"/>
      <sheetData sheetId="12330"/>
      <sheetData sheetId="12331"/>
      <sheetData sheetId="12332"/>
      <sheetData sheetId="12333"/>
      <sheetData sheetId="12334"/>
      <sheetData sheetId="12335"/>
      <sheetData sheetId="12336"/>
      <sheetData sheetId="12337"/>
      <sheetData sheetId="12338"/>
      <sheetData sheetId="12339"/>
      <sheetData sheetId="12340"/>
      <sheetData sheetId="12341"/>
      <sheetData sheetId="12342"/>
      <sheetData sheetId="12343"/>
      <sheetData sheetId="12344"/>
      <sheetData sheetId="12345"/>
      <sheetData sheetId="12346"/>
      <sheetData sheetId="12347"/>
      <sheetData sheetId="12348"/>
      <sheetData sheetId="12349"/>
      <sheetData sheetId="12350"/>
      <sheetData sheetId="12351"/>
      <sheetData sheetId="12352"/>
      <sheetData sheetId="12353"/>
      <sheetData sheetId="12354"/>
      <sheetData sheetId="12355"/>
      <sheetData sheetId="12356"/>
      <sheetData sheetId="12357"/>
      <sheetData sheetId="12358"/>
      <sheetData sheetId="12359"/>
      <sheetData sheetId="12360"/>
      <sheetData sheetId="12361"/>
      <sheetData sheetId="12362"/>
      <sheetData sheetId="12363"/>
      <sheetData sheetId="12364"/>
      <sheetData sheetId="12365"/>
      <sheetData sheetId="12366"/>
      <sheetData sheetId="12367"/>
      <sheetData sheetId="12368"/>
      <sheetData sheetId="12369"/>
      <sheetData sheetId="12370"/>
      <sheetData sheetId="12371"/>
      <sheetData sheetId="12372"/>
      <sheetData sheetId="12373"/>
      <sheetData sheetId="12374"/>
      <sheetData sheetId="12375"/>
      <sheetData sheetId="12376"/>
      <sheetData sheetId="12377"/>
      <sheetData sheetId="12378"/>
      <sheetData sheetId="12379"/>
      <sheetData sheetId="12380"/>
      <sheetData sheetId="12381"/>
      <sheetData sheetId="12382"/>
      <sheetData sheetId="12383"/>
      <sheetData sheetId="12384"/>
      <sheetData sheetId="12385"/>
      <sheetData sheetId="12386"/>
      <sheetData sheetId="12387"/>
      <sheetData sheetId="12388"/>
      <sheetData sheetId="12389"/>
      <sheetData sheetId="12390"/>
      <sheetData sheetId="12391"/>
      <sheetData sheetId="12392"/>
      <sheetData sheetId="12393"/>
      <sheetData sheetId="12394"/>
      <sheetData sheetId="12395"/>
      <sheetData sheetId="12396"/>
      <sheetData sheetId="12397"/>
      <sheetData sheetId="12398"/>
      <sheetData sheetId="12399"/>
      <sheetData sheetId="12400"/>
      <sheetData sheetId="12401"/>
      <sheetData sheetId="12402"/>
      <sheetData sheetId="12403"/>
      <sheetData sheetId="12404"/>
      <sheetData sheetId="12405"/>
      <sheetData sheetId="12406"/>
      <sheetData sheetId="12407"/>
      <sheetData sheetId="12408"/>
      <sheetData sheetId="12409"/>
      <sheetData sheetId="12410"/>
      <sheetData sheetId="12411"/>
      <sheetData sheetId="12412"/>
      <sheetData sheetId="12413"/>
      <sheetData sheetId="12414"/>
      <sheetData sheetId="12415"/>
      <sheetData sheetId="12416"/>
      <sheetData sheetId="12417"/>
      <sheetData sheetId="12418"/>
      <sheetData sheetId="12419"/>
      <sheetData sheetId="12420"/>
      <sheetData sheetId="12421"/>
      <sheetData sheetId="12422"/>
      <sheetData sheetId="12423"/>
      <sheetData sheetId="12424"/>
      <sheetData sheetId="12425"/>
      <sheetData sheetId="12426"/>
      <sheetData sheetId="12427"/>
      <sheetData sheetId="12428"/>
      <sheetData sheetId="12429"/>
      <sheetData sheetId="12430"/>
      <sheetData sheetId="12431"/>
      <sheetData sheetId="12432"/>
      <sheetData sheetId="12433"/>
      <sheetData sheetId="12434"/>
      <sheetData sheetId="12435"/>
      <sheetData sheetId="12436"/>
      <sheetData sheetId="12437"/>
      <sheetData sheetId="12438"/>
      <sheetData sheetId="12439"/>
      <sheetData sheetId="12440"/>
      <sheetData sheetId="12441"/>
      <sheetData sheetId="12442"/>
      <sheetData sheetId="12443"/>
      <sheetData sheetId="12444"/>
      <sheetData sheetId="12445"/>
      <sheetData sheetId="12446"/>
      <sheetData sheetId="12447"/>
      <sheetData sheetId="12448"/>
      <sheetData sheetId="12449"/>
      <sheetData sheetId="12450"/>
      <sheetData sheetId="12451"/>
      <sheetData sheetId="12452"/>
      <sheetData sheetId="12453"/>
      <sheetData sheetId="12454"/>
      <sheetData sheetId="12455"/>
      <sheetData sheetId="12456"/>
      <sheetData sheetId="12457"/>
      <sheetData sheetId="12458"/>
      <sheetData sheetId="12459"/>
      <sheetData sheetId="12460"/>
      <sheetData sheetId="12461"/>
      <sheetData sheetId="12462"/>
      <sheetData sheetId="12463"/>
      <sheetData sheetId="12464"/>
      <sheetData sheetId="12465"/>
      <sheetData sheetId="12466"/>
      <sheetData sheetId="12467"/>
      <sheetData sheetId="12468"/>
      <sheetData sheetId="12469"/>
      <sheetData sheetId="12470"/>
      <sheetData sheetId="12471"/>
      <sheetData sheetId="12472"/>
      <sheetData sheetId="12473"/>
      <sheetData sheetId="12474"/>
      <sheetData sheetId="12475"/>
      <sheetData sheetId="12476"/>
      <sheetData sheetId="12477"/>
      <sheetData sheetId="12478"/>
      <sheetData sheetId="12479"/>
      <sheetData sheetId="12480"/>
      <sheetData sheetId="12481"/>
      <sheetData sheetId="12482"/>
      <sheetData sheetId="12483"/>
      <sheetData sheetId="12484"/>
      <sheetData sheetId="12485"/>
      <sheetData sheetId="12486"/>
      <sheetData sheetId="12487"/>
      <sheetData sheetId="12488"/>
      <sheetData sheetId="12489"/>
      <sheetData sheetId="12490"/>
      <sheetData sheetId="12491"/>
      <sheetData sheetId="12492"/>
      <sheetData sheetId="12493"/>
      <sheetData sheetId="12494"/>
      <sheetData sheetId="12495"/>
      <sheetData sheetId="12496"/>
      <sheetData sheetId="12497"/>
      <sheetData sheetId="12498"/>
      <sheetData sheetId="12499"/>
      <sheetData sheetId="12500"/>
      <sheetData sheetId="12501"/>
      <sheetData sheetId="12502"/>
      <sheetData sheetId="12503"/>
      <sheetData sheetId="12504"/>
      <sheetData sheetId="12505"/>
      <sheetData sheetId="12506"/>
      <sheetData sheetId="12507"/>
      <sheetData sheetId="12508"/>
      <sheetData sheetId="12509"/>
      <sheetData sheetId="12510"/>
      <sheetData sheetId="12511"/>
      <sheetData sheetId="12512"/>
      <sheetData sheetId="12513"/>
      <sheetData sheetId="12514"/>
      <sheetData sheetId="12515"/>
      <sheetData sheetId="12516"/>
      <sheetData sheetId="12517"/>
      <sheetData sheetId="12518"/>
      <sheetData sheetId="12519"/>
      <sheetData sheetId="12520"/>
      <sheetData sheetId="12521"/>
      <sheetData sheetId="12522"/>
      <sheetData sheetId="12523"/>
      <sheetData sheetId="12524"/>
      <sheetData sheetId="12525"/>
      <sheetData sheetId="12526"/>
      <sheetData sheetId="12527"/>
      <sheetData sheetId="12528"/>
      <sheetData sheetId="12529"/>
      <sheetData sheetId="12530"/>
      <sheetData sheetId="12531"/>
      <sheetData sheetId="12532"/>
      <sheetData sheetId="12533"/>
      <sheetData sheetId="12534"/>
      <sheetData sheetId="12535"/>
      <sheetData sheetId="12536"/>
      <sheetData sheetId="12537"/>
      <sheetData sheetId="12538"/>
      <sheetData sheetId="12539"/>
      <sheetData sheetId="12540"/>
      <sheetData sheetId="12541"/>
      <sheetData sheetId="12542"/>
      <sheetData sheetId="12543"/>
      <sheetData sheetId="12544"/>
      <sheetData sheetId="12545"/>
      <sheetData sheetId="12546"/>
      <sheetData sheetId="12547"/>
      <sheetData sheetId="12548"/>
      <sheetData sheetId="12549"/>
      <sheetData sheetId="12550"/>
      <sheetData sheetId="12551"/>
      <sheetData sheetId="12552"/>
      <sheetData sheetId="12553"/>
      <sheetData sheetId="12554"/>
      <sheetData sheetId="12555"/>
      <sheetData sheetId="12556"/>
      <sheetData sheetId="12557"/>
      <sheetData sheetId="12558"/>
      <sheetData sheetId="12559"/>
      <sheetData sheetId="12560"/>
      <sheetData sheetId="12561"/>
      <sheetData sheetId="12562"/>
      <sheetData sheetId="12563"/>
      <sheetData sheetId="12564"/>
      <sheetData sheetId="12565"/>
      <sheetData sheetId="12566"/>
      <sheetData sheetId="12567"/>
      <sheetData sheetId="12568"/>
      <sheetData sheetId="12569"/>
      <sheetData sheetId="12570"/>
      <sheetData sheetId="12571"/>
      <sheetData sheetId="12572"/>
      <sheetData sheetId="12573"/>
      <sheetData sheetId="12574"/>
      <sheetData sheetId="12575"/>
      <sheetData sheetId="12576"/>
      <sheetData sheetId="12577"/>
      <sheetData sheetId="12578"/>
      <sheetData sheetId="12579"/>
      <sheetData sheetId="12580"/>
      <sheetData sheetId="12581"/>
      <sheetData sheetId="12582"/>
      <sheetData sheetId="12583"/>
      <sheetData sheetId="12584"/>
      <sheetData sheetId="12585"/>
      <sheetData sheetId="12586"/>
      <sheetData sheetId="12587"/>
      <sheetData sheetId="12588"/>
      <sheetData sheetId="12589"/>
      <sheetData sheetId="12590"/>
      <sheetData sheetId="12591"/>
      <sheetData sheetId="12592"/>
      <sheetData sheetId="12593"/>
      <sheetData sheetId="12594"/>
      <sheetData sheetId="12595"/>
      <sheetData sheetId="12596"/>
      <sheetData sheetId="12597"/>
      <sheetData sheetId="12598"/>
      <sheetData sheetId="12599"/>
      <sheetData sheetId="12600"/>
      <sheetData sheetId="12601"/>
      <sheetData sheetId="12602"/>
      <sheetData sheetId="12603"/>
      <sheetData sheetId="12604"/>
      <sheetData sheetId="12605"/>
      <sheetData sheetId="12606"/>
      <sheetData sheetId="12607"/>
      <sheetData sheetId="12608"/>
      <sheetData sheetId="12609"/>
      <sheetData sheetId="12610"/>
      <sheetData sheetId="12611"/>
      <sheetData sheetId="12612"/>
      <sheetData sheetId="12613"/>
      <sheetData sheetId="12614"/>
      <sheetData sheetId="12615"/>
      <sheetData sheetId="12616"/>
      <sheetData sheetId="12617"/>
      <sheetData sheetId="12618"/>
      <sheetData sheetId="12619"/>
      <sheetData sheetId="12620"/>
      <sheetData sheetId="12621"/>
      <sheetData sheetId="12622"/>
      <sheetData sheetId="12623"/>
      <sheetData sheetId="12624"/>
      <sheetData sheetId="12625"/>
      <sheetData sheetId="12626"/>
      <sheetData sheetId="12627"/>
      <sheetData sheetId="12628"/>
      <sheetData sheetId="12629"/>
      <sheetData sheetId="12630"/>
      <sheetData sheetId="12631"/>
      <sheetData sheetId="12632"/>
      <sheetData sheetId="12633"/>
      <sheetData sheetId="12634"/>
      <sheetData sheetId="12635"/>
      <sheetData sheetId="12636"/>
      <sheetData sheetId="12637"/>
      <sheetData sheetId="12638"/>
      <sheetData sheetId="12639"/>
      <sheetData sheetId="12640"/>
      <sheetData sheetId="12641"/>
      <sheetData sheetId="12642"/>
      <sheetData sheetId="12643"/>
      <sheetData sheetId="12644"/>
      <sheetData sheetId="12645"/>
      <sheetData sheetId="12646"/>
      <sheetData sheetId="12647"/>
      <sheetData sheetId="12648"/>
      <sheetData sheetId="12649"/>
      <sheetData sheetId="12650"/>
      <sheetData sheetId="12651"/>
      <sheetData sheetId="12652"/>
      <sheetData sheetId="12653"/>
      <sheetData sheetId="12654"/>
      <sheetData sheetId="12655"/>
      <sheetData sheetId="12656"/>
      <sheetData sheetId="12657"/>
      <sheetData sheetId="12658"/>
      <sheetData sheetId="12659"/>
      <sheetData sheetId="12660"/>
      <sheetData sheetId="12661"/>
      <sheetData sheetId="12662"/>
      <sheetData sheetId="12663"/>
      <sheetData sheetId="12664"/>
      <sheetData sheetId="12665"/>
      <sheetData sheetId="12666"/>
      <sheetData sheetId="12667"/>
      <sheetData sheetId="12668"/>
      <sheetData sheetId="12669"/>
      <sheetData sheetId="12670"/>
      <sheetData sheetId="12671"/>
      <sheetData sheetId="12672"/>
      <sheetData sheetId="12673"/>
      <sheetData sheetId="12674"/>
      <sheetData sheetId="12675"/>
      <sheetData sheetId="12676"/>
      <sheetData sheetId="12677"/>
      <sheetData sheetId="12678"/>
      <sheetData sheetId="12679"/>
      <sheetData sheetId="12680"/>
      <sheetData sheetId="12681"/>
      <sheetData sheetId="12682"/>
      <sheetData sheetId="12683"/>
      <sheetData sheetId="12684"/>
      <sheetData sheetId="12685"/>
      <sheetData sheetId="12686"/>
      <sheetData sheetId="12687"/>
      <sheetData sheetId="12688"/>
      <sheetData sheetId="12689"/>
      <sheetData sheetId="12690"/>
      <sheetData sheetId="12691"/>
      <sheetData sheetId="12692"/>
      <sheetData sheetId="12693"/>
      <sheetData sheetId="12694"/>
      <sheetData sheetId="12695"/>
      <sheetData sheetId="12696"/>
      <sheetData sheetId="12697"/>
      <sheetData sheetId="12698"/>
      <sheetData sheetId="12699"/>
      <sheetData sheetId="12700"/>
      <sheetData sheetId="12701"/>
      <sheetData sheetId="12702"/>
      <sheetData sheetId="12703"/>
      <sheetData sheetId="12704"/>
      <sheetData sheetId="12705"/>
      <sheetData sheetId="12706"/>
      <sheetData sheetId="12707"/>
      <sheetData sheetId="12708"/>
      <sheetData sheetId="12709"/>
      <sheetData sheetId="12710"/>
      <sheetData sheetId="12711"/>
      <sheetData sheetId="12712"/>
      <sheetData sheetId="12713"/>
      <sheetData sheetId="12714"/>
      <sheetData sheetId="12715"/>
      <sheetData sheetId="12716"/>
      <sheetData sheetId="12717"/>
      <sheetData sheetId="12718"/>
      <sheetData sheetId="12719"/>
      <sheetData sheetId="12720"/>
      <sheetData sheetId="12721"/>
      <sheetData sheetId="12722"/>
      <sheetData sheetId="12723"/>
      <sheetData sheetId="12724"/>
      <sheetData sheetId="12725"/>
      <sheetData sheetId="12726"/>
      <sheetData sheetId="12727"/>
      <sheetData sheetId="12728"/>
      <sheetData sheetId="12729"/>
      <sheetData sheetId="12730"/>
      <sheetData sheetId="12731"/>
      <sheetData sheetId="12732"/>
      <sheetData sheetId="12733"/>
      <sheetData sheetId="12734"/>
      <sheetData sheetId="12735"/>
      <sheetData sheetId="12736"/>
      <sheetData sheetId="12737"/>
      <sheetData sheetId="12738"/>
      <sheetData sheetId="12739"/>
      <sheetData sheetId="12740"/>
      <sheetData sheetId="12741"/>
      <sheetData sheetId="12742"/>
      <sheetData sheetId="12743"/>
      <sheetData sheetId="12744"/>
      <sheetData sheetId="12745"/>
      <sheetData sheetId="12746"/>
      <sheetData sheetId="12747"/>
      <sheetData sheetId="12748"/>
      <sheetData sheetId="12749"/>
      <sheetData sheetId="12750"/>
      <sheetData sheetId="12751"/>
      <sheetData sheetId="12752"/>
      <sheetData sheetId="12753"/>
      <sheetData sheetId="12754"/>
      <sheetData sheetId="12755"/>
      <sheetData sheetId="12756"/>
      <sheetData sheetId="12757"/>
      <sheetData sheetId="12758"/>
      <sheetData sheetId="12759"/>
      <sheetData sheetId="12760"/>
      <sheetData sheetId="12761"/>
      <sheetData sheetId="12762"/>
      <sheetData sheetId="12763"/>
      <sheetData sheetId="12764"/>
      <sheetData sheetId="12765"/>
      <sheetData sheetId="12766"/>
      <sheetData sheetId="12767"/>
      <sheetData sheetId="12768"/>
      <sheetData sheetId="12769"/>
      <sheetData sheetId="12770"/>
      <sheetData sheetId="12771"/>
      <sheetData sheetId="12772"/>
      <sheetData sheetId="12773"/>
      <sheetData sheetId="12774"/>
      <sheetData sheetId="12775"/>
      <sheetData sheetId="12776"/>
      <sheetData sheetId="12777"/>
      <sheetData sheetId="12778"/>
      <sheetData sheetId="12779"/>
      <sheetData sheetId="12780"/>
      <sheetData sheetId="12781"/>
      <sheetData sheetId="12782"/>
      <sheetData sheetId="12783"/>
      <sheetData sheetId="12784"/>
      <sheetData sheetId="12785"/>
      <sheetData sheetId="12786"/>
      <sheetData sheetId="12787"/>
      <sheetData sheetId="12788"/>
      <sheetData sheetId="12789"/>
      <sheetData sheetId="12790"/>
      <sheetData sheetId="12791"/>
      <sheetData sheetId="12792"/>
      <sheetData sheetId="12793"/>
      <sheetData sheetId="12794"/>
      <sheetData sheetId="12795"/>
      <sheetData sheetId="12796"/>
      <sheetData sheetId="12797"/>
      <sheetData sheetId="12798"/>
      <sheetData sheetId="12799"/>
      <sheetData sheetId="12800"/>
      <sheetData sheetId="12801"/>
      <sheetData sheetId="12802"/>
      <sheetData sheetId="12803"/>
      <sheetData sheetId="12804"/>
      <sheetData sheetId="12805"/>
      <sheetData sheetId="12806"/>
      <sheetData sheetId="12807"/>
      <sheetData sheetId="12808"/>
      <sheetData sheetId="12809"/>
      <sheetData sheetId="12810"/>
      <sheetData sheetId="12811"/>
      <sheetData sheetId="12812"/>
      <sheetData sheetId="12813"/>
      <sheetData sheetId="12814"/>
      <sheetData sheetId="12815"/>
      <sheetData sheetId="12816"/>
      <sheetData sheetId="12817"/>
      <sheetData sheetId="12818"/>
      <sheetData sheetId="12819"/>
      <sheetData sheetId="12820"/>
      <sheetData sheetId="12821"/>
      <sheetData sheetId="12822" refreshError="1"/>
      <sheetData sheetId="12823"/>
      <sheetData sheetId="12824"/>
      <sheetData sheetId="12825"/>
      <sheetData sheetId="12826"/>
      <sheetData sheetId="12827"/>
      <sheetData sheetId="12828"/>
      <sheetData sheetId="12829"/>
      <sheetData sheetId="12830"/>
      <sheetData sheetId="12831"/>
      <sheetData sheetId="12832"/>
      <sheetData sheetId="12833"/>
      <sheetData sheetId="12834" refreshError="1"/>
      <sheetData sheetId="12835" refreshError="1"/>
      <sheetData sheetId="12836" refreshError="1"/>
      <sheetData sheetId="12837" refreshError="1"/>
      <sheetData sheetId="12838" refreshError="1"/>
      <sheetData sheetId="12839" refreshError="1"/>
      <sheetData sheetId="12840" refreshError="1"/>
      <sheetData sheetId="12841" refreshError="1"/>
      <sheetData sheetId="12842" refreshError="1"/>
      <sheetData sheetId="12843" refreshError="1"/>
      <sheetData sheetId="12844" refreshError="1"/>
      <sheetData sheetId="12845" refreshError="1"/>
      <sheetData sheetId="12846" refreshError="1"/>
      <sheetData sheetId="12847" refreshError="1"/>
      <sheetData sheetId="12848" refreshError="1"/>
      <sheetData sheetId="12849" refreshError="1"/>
      <sheetData sheetId="12850" refreshError="1"/>
      <sheetData sheetId="12851" refreshError="1"/>
      <sheetData sheetId="12852" refreshError="1"/>
      <sheetData sheetId="12853" refreshError="1"/>
      <sheetData sheetId="12854" refreshError="1"/>
      <sheetData sheetId="12855" refreshError="1"/>
      <sheetData sheetId="12856" refreshError="1"/>
      <sheetData sheetId="12857"/>
      <sheetData sheetId="12858"/>
      <sheetData sheetId="12859"/>
      <sheetData sheetId="12860"/>
      <sheetData sheetId="12861"/>
      <sheetData sheetId="12862"/>
      <sheetData sheetId="12863"/>
      <sheetData sheetId="12864"/>
      <sheetData sheetId="12865"/>
      <sheetData sheetId="12866"/>
      <sheetData sheetId="12867"/>
      <sheetData sheetId="12868"/>
      <sheetData sheetId="12869"/>
      <sheetData sheetId="12870"/>
      <sheetData sheetId="12871"/>
      <sheetData sheetId="12872"/>
      <sheetData sheetId="12873"/>
      <sheetData sheetId="12874"/>
      <sheetData sheetId="12875"/>
      <sheetData sheetId="12876" refreshError="1"/>
      <sheetData sheetId="12877" refreshError="1"/>
      <sheetData sheetId="12878"/>
      <sheetData sheetId="12879" refreshError="1"/>
      <sheetData sheetId="12880" refreshError="1"/>
      <sheetData sheetId="12881" refreshError="1"/>
      <sheetData sheetId="12882" refreshError="1"/>
      <sheetData sheetId="12883" refreshError="1"/>
      <sheetData sheetId="12884" refreshError="1"/>
      <sheetData sheetId="12885" refreshError="1"/>
      <sheetData sheetId="12886"/>
      <sheetData sheetId="12887"/>
      <sheetData sheetId="12888"/>
      <sheetData sheetId="12889"/>
      <sheetData sheetId="12890"/>
      <sheetData sheetId="12891"/>
      <sheetData sheetId="12892" refreshError="1"/>
      <sheetData sheetId="12893" refreshError="1"/>
      <sheetData sheetId="12894" refreshError="1"/>
      <sheetData sheetId="12895" refreshError="1"/>
      <sheetData sheetId="12896" refreshError="1"/>
      <sheetData sheetId="12897"/>
      <sheetData sheetId="12898"/>
      <sheetData sheetId="12899"/>
      <sheetData sheetId="12900"/>
      <sheetData sheetId="12901" refreshError="1"/>
      <sheetData sheetId="1290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G Depots"/>
      <sheetName val="Launch and Maintenance"/>
      <sheetName val="PE1"/>
      <sheetName val="RS1"/>
      <sheetName val="SC1"/>
      <sheetName val="SP1"/>
      <sheetName val="ARdistr (2)"/>
      <sheetName val="Assumptions"/>
      <sheetName val="BAU"/>
      <sheetName val="BH"/>
      <sheetName val="CAM"/>
      <sheetName val="CEE"/>
      <sheetName val="CUR"/>
      <sheetName val="DF"/>
      <sheetName val="PRP"/>
      <sheetName val="RIB"/>
      <sheetName val="RJ"/>
      <sheetName val="SAL"/>
      <sheetName val="SAN"/>
      <sheetName val="SCA"/>
      <sheetName val="SJC"/>
      <sheetName val="SJR"/>
      <sheetName val="SOR"/>
      <sheetName val="Meses"/>
      <sheetName val="Hoja1"/>
      <sheetName val="Distribución D"/>
      <sheetName val="Validate List"/>
      <sheetName val="Agrega Spend Taxonomy"/>
      <sheetName val="HUB Structure"/>
      <sheetName val="Titles"/>
      <sheetName val="Backbone"/>
      <sheetName val="Validation"/>
      <sheetName val="BASE"/>
      <sheetName val="lists"/>
      <sheetName val="Sheet3"/>
      <sheetName val="source"/>
      <sheetName val="Файл_список_ТМ_программ_сроков"/>
      <sheetName val="Back-up"/>
      <sheetName val="RG depots jaar"/>
      <sheetName val="Tabelle1"/>
      <sheetName val="Datos por SKU-categoria 2011 Ac"/>
      <sheetName val="Status"/>
      <sheetName val="Datos"/>
      <sheetName val="Legend"/>
      <sheetName val="List"/>
      <sheetName val="Tablas"/>
      <sheetName val="Lista total"/>
      <sheetName val="Controls data"/>
      <sheetName val="Лист2"/>
      <sheetName val="МВЗ"/>
      <sheetName val="Лист5"/>
      <sheetName val="RG_Depots"/>
      <sheetName val="sourсe"/>
      <sheetName val="Sheet2"/>
      <sheetName val="СКЮ"/>
      <sheetName val="ПОДСКАЗКА"/>
      <sheetName val="список SKU"/>
      <sheetName val="СЗ"/>
      <sheetName val="RG_Depots1"/>
      <sheetName val="drop-downs"/>
      <sheetName val="Справочник"/>
      <sheetName val="ARdistr_(2)"/>
      <sheetName val="Launch_and_Maintenance"/>
      <sheetName val="Validate_List"/>
      <sheetName val="Agrega_Spend_Taxonomy"/>
      <sheetName val="HUB_Structure"/>
      <sheetName val="filt"/>
      <sheetName val="Price list"/>
      <sheetName val="Budget Summary"/>
      <sheetName val="Contract"/>
      <sheetName val="support"/>
      <sheetName val="BD"/>
      <sheetName val="Parametros"/>
      <sheetName val="RG_Depots2"/>
      <sheetName val="Distribución_D"/>
      <sheetName val="RG_depots_jaar"/>
      <sheetName val="Monthly Updating&gt;&gt;&gt;"/>
      <sheetName val="Hoja2"/>
      <sheetName val="DePara"/>
      <sheetName val="Map"/>
      <sheetName val="capex"/>
      <sheetName val="RG_Depots3"/>
      <sheetName val="ARdistr_(2)1"/>
      <sheetName val="Launch_and_Maintenance1"/>
      <sheetName val="Distribución_D1"/>
      <sheetName val="Validate_List1"/>
      <sheetName val="Agrega_Spend_Taxonomy1"/>
      <sheetName val="HUB_Structure1"/>
      <sheetName val="RG_depots_jaar1"/>
      <sheetName val="Datos_por_SKU-categoria_2011_Ac"/>
      <sheetName val="Lista_total"/>
      <sheetName val="Controls_data"/>
      <sheetName val="список_SKU"/>
      <sheetName val="Price_list"/>
      <sheetName val="Budget_Summary"/>
      <sheetName val="Monthly_Updating&gt;&gt;&gt;"/>
      <sheetName val="Data"/>
      <sheetName val="Tables"/>
      <sheetName val="LE - Input"/>
      <sheetName val="Misc"/>
      <sheetName val="Sheet1"/>
      <sheetName val="NNS_BGT_ACT"/>
      <sheetName val="drop downs"/>
      <sheetName val="menu"/>
      <sheetName val="Списки"/>
      <sheetName val="Лист1"/>
      <sheetName val="Drop down list"/>
      <sheetName val="drop-down"/>
      <sheetName val="Basetables"/>
      <sheetName val="PLMM-R$"/>
      <sheetName val="LookUp"/>
      <sheetName val="2 - KPIs Impacted "/>
      <sheetName val="FX lookup"/>
      <sheetName val="Drop Down Menus"/>
      <sheetName val="COMPS"/>
      <sheetName val="FX - Assumptions"/>
      <sheetName val="은행"/>
      <sheetName val="BU17 Summary"/>
      <sheetName val="LookUps"/>
      <sheetName val="MappingBrands"/>
      <sheetName val="RG_Depots4"/>
      <sheetName val="Launch_and_Maintenance2"/>
      <sheetName val="ARdistr_(2)2"/>
      <sheetName val="Validate_List2"/>
      <sheetName val="Agrega_Spend_Taxonomy2"/>
      <sheetName val="HUB_Structure2"/>
      <sheetName val="Distribución_D2"/>
      <sheetName val="RG_depots_jaar2"/>
      <sheetName val="Datos_por_SKU-categoria_2011_A1"/>
      <sheetName val="Lista_total1"/>
      <sheetName val="Controls_data1"/>
      <sheetName val="список_SKU1"/>
      <sheetName val="Budget_Summary1"/>
      <sheetName val="Price_list1"/>
      <sheetName val="Monthly_Updating&gt;&gt;&gt;1"/>
      <sheetName val="CostModel"/>
      <sheetName val="Reference"/>
      <sheetName val="Financial info"/>
      <sheetName val="Completion Instructions"/>
      <sheetName val="Help"/>
      <sheetName val="Tipos de iniciativas"/>
      <sheetName val="Descriptions"/>
      <sheetName val="Supply Cost Centers"/>
      <sheetName val="VIC R&amp;O List"/>
      <sheetName val="LE_-_Input"/>
      <sheetName val="Drop_down_list"/>
      <sheetName val="drop_downs"/>
      <sheetName val="2_-_KPIs_Impacted_"/>
      <sheetName val="FX_lookup"/>
      <sheetName val="Drop_Down_Menus"/>
      <sheetName val="Referencia"/>
      <sheetName val="Sheet4"/>
      <sheetName val="Selection Lists"/>
      <sheetName val="LD"/>
      <sheetName val="DROP"/>
      <sheetName val="Instruction"/>
      <sheetName val="Hide"/>
      <sheetName val="Master"/>
      <sheetName val="Sales Package Input"/>
      <sheetName val="GCOA_SUBP"/>
      <sheetName val="Overview"/>
      <sheetName val="LookUp2"/>
      <sheetName val="Reference tab"/>
      <sheetName val="RG_Depots5"/>
      <sheetName val="Launch_and_Maintenance3"/>
      <sheetName val="ARdistr_(2)3"/>
      <sheetName val="Distribución_D3"/>
      <sheetName val="Validate_List3"/>
      <sheetName val="Agrega_Spend_Taxonomy3"/>
      <sheetName val="HUB_Structure3"/>
      <sheetName val="RG_depots_jaar3"/>
      <sheetName val="Datos_por_SKU-categoria_2011_A2"/>
      <sheetName val="Lista_total2"/>
      <sheetName val="Controls_data2"/>
      <sheetName val="список_SKU2"/>
      <sheetName val="Price_list2"/>
      <sheetName val="Budget_Summary2"/>
      <sheetName val="Monthly_Updating&gt;&gt;&gt;2"/>
      <sheetName val="LE_-_Input1"/>
      <sheetName val="drop_downs1"/>
      <sheetName val="Drop_down_list1"/>
      <sheetName val="2_-_KPIs_Impacted_1"/>
      <sheetName val="FX_lookup1"/>
      <sheetName val="Drop_Down_Menus1"/>
      <sheetName val="FX_-_Assumptions"/>
      <sheetName val="BU17_Summary"/>
      <sheetName val="Financial_info"/>
      <sheetName val="Completion_Instructions"/>
      <sheetName val="Tipos_de_iniciativas"/>
      <sheetName val="Supply_Cost_Centers"/>
      <sheetName val="VIC_R&amp;O_List"/>
      <sheetName val="Selection_Lists"/>
      <sheetName val="Sales_Package_Input"/>
      <sheetName val="Reference_tab"/>
      <sheetName val="Info"/>
      <sheetName val="7월_공유용"/>
      <sheetName val="Key"/>
      <sheetName val="Other Listings"/>
      <sheetName val="Помощник"/>
      <sheetName val="Assumption"/>
      <sheetName val="Basis"/>
      <sheetName val="Validacion #1"/>
      <sheetName val="BASE LISTAS"/>
      <sheetName val="R&amp;O List"/>
      <sheetName val=""/>
      <sheetName val="Cuentas y CeCos"/>
      <sheetName val="RG%20depots%20jaar.XLS"/>
      <sheetName val="RG_Depots6"/>
      <sheetName val="Launch_and_Maintenance4"/>
      <sheetName val="ARdistr_(2)4"/>
      <sheetName val="Distribución_D4"/>
      <sheetName val="Validate_List4"/>
      <sheetName val="Agrega_Spend_Taxonomy4"/>
      <sheetName val="HUB_Structure4"/>
      <sheetName val="RG_depots_jaar4"/>
      <sheetName val="Datos_por_SKU-categoria_2011_A3"/>
      <sheetName val="Lista_total3"/>
      <sheetName val="Controls_data3"/>
      <sheetName val="список_SKU3"/>
      <sheetName val="Price_list3"/>
      <sheetName val="Budget_Summary3"/>
      <sheetName val="Monthly_Updating&gt;&gt;&gt;3"/>
      <sheetName val="LE_-_Input2"/>
      <sheetName val="drop_downs2"/>
      <sheetName val="Drop_down_list2"/>
      <sheetName val="2_-_KPIs_Impacted_2"/>
      <sheetName val="FX_lookup2"/>
      <sheetName val="Drop_Down_Menus2"/>
      <sheetName val="FX_-_Assumptions1"/>
      <sheetName val="BU17_Summary1"/>
      <sheetName val="Financial_info1"/>
      <sheetName val="Completion_Instructions1"/>
      <sheetName val="Tipos_de_iniciativas1"/>
      <sheetName val="Supply_Cost_Centers1"/>
      <sheetName val="VIC_R&amp;O_List1"/>
      <sheetName val="Selection_Lists1"/>
      <sheetName val="Sales_Package_Input1"/>
      <sheetName val="Reference_tab1"/>
      <sheetName val="Other_Listings"/>
      <sheetName val="Validacion_#1"/>
      <sheetName val="BASE_LISTAS"/>
      <sheetName val="R&amp;O_List"/>
      <sheetName val="Cuentas_y_CeCos"/>
      <sheetName val="RG%20depots%20jaar_XLS"/>
      <sheetName val="RG_Depots7"/>
      <sheetName val="Launch_and_Maintenance5"/>
      <sheetName val="ARdistr_(2)5"/>
      <sheetName val="Distribución_D5"/>
      <sheetName val="Validate_List5"/>
      <sheetName val="Agrega_Spend_Taxonomy5"/>
      <sheetName val="HUB_Structure5"/>
      <sheetName val="RG_depots_jaar5"/>
      <sheetName val="Datos_por_SKU-categoria_2011_A4"/>
      <sheetName val="Lista_total4"/>
      <sheetName val="Controls_data4"/>
      <sheetName val="список_SKU4"/>
      <sheetName val="Price_list4"/>
      <sheetName val="Budget_Summary4"/>
      <sheetName val="Monthly_Updating&gt;&gt;&gt;4"/>
      <sheetName val="LE_-_Input3"/>
      <sheetName val="drop_downs3"/>
      <sheetName val="Drop_down_list3"/>
      <sheetName val="2_-_KPIs_Impacted_3"/>
      <sheetName val="FX_lookup3"/>
      <sheetName val="Drop_Down_Menus3"/>
      <sheetName val="FX_-_Assumptions2"/>
      <sheetName val="BU17_Summary2"/>
      <sheetName val="Financial_info2"/>
      <sheetName val="Completion_Instructions2"/>
      <sheetName val="Tipos_de_iniciativas2"/>
      <sheetName val="Supply_Cost_Centers2"/>
      <sheetName val="VIC_R&amp;O_List2"/>
      <sheetName val="Selection_Lists2"/>
      <sheetName val="Sales_Package_Input2"/>
      <sheetName val="Reference_tab2"/>
      <sheetName val="Other_Listings1"/>
      <sheetName val="Validacion_#11"/>
      <sheetName val="BASE_LISTAS1"/>
      <sheetName val="R&amp;O_List1"/>
      <sheetName val="Cuentas_y_CeCos1"/>
      <sheetName val="RG%20depots%20jaar_XLS1"/>
      <sheetName val="RG_Depots8"/>
      <sheetName val="Launch_and_Maintenance6"/>
      <sheetName val="ARdistr_(2)6"/>
      <sheetName val="Distribución_D6"/>
      <sheetName val="Validate_List6"/>
      <sheetName val="Agrega_Spend_Taxonomy6"/>
      <sheetName val="HUB_Structure6"/>
      <sheetName val="RG_depots_jaar6"/>
      <sheetName val="Datos_por_SKU-categoria_2011_A5"/>
      <sheetName val="Lista_total5"/>
      <sheetName val="Controls_data5"/>
      <sheetName val="список_SKU5"/>
      <sheetName val="Price_list5"/>
      <sheetName val="Budget_Summary5"/>
      <sheetName val="Monthly_Updating&gt;&gt;&gt;5"/>
      <sheetName val="LE_-_Input4"/>
      <sheetName val="drop_downs4"/>
      <sheetName val="Drop_down_list4"/>
      <sheetName val="2_-_KPIs_Impacted_4"/>
      <sheetName val="FX_lookup4"/>
      <sheetName val="Drop_Down_Menus4"/>
      <sheetName val="FX_-_Assumptions3"/>
      <sheetName val="BU17_Summary3"/>
      <sheetName val="Financial_info3"/>
      <sheetName val="Completion_Instructions3"/>
      <sheetName val="Tipos_de_iniciativas3"/>
      <sheetName val="Supply_Cost_Centers3"/>
      <sheetName val="VIC_R&amp;O_List3"/>
      <sheetName val="Selection_Lists3"/>
      <sheetName val="Sales_Package_Input3"/>
      <sheetName val="Reference_tab3"/>
      <sheetName val="Other_Listings2"/>
      <sheetName val="Validacion_#12"/>
      <sheetName val="BASE_LISTAS2"/>
      <sheetName val="R&amp;O_List2"/>
      <sheetName val="Cuentas_y_CeCos2"/>
      <sheetName val="RG%20depots%20jaar_XLS2"/>
      <sheetName val="RG_Depots9"/>
      <sheetName val="Launch_and_Maintenance7"/>
      <sheetName val="ARdistr_(2)7"/>
      <sheetName val="Distribución_D7"/>
      <sheetName val="Validate_List7"/>
      <sheetName val="Agrega_Spend_Taxonomy7"/>
      <sheetName val="HUB_Structure7"/>
      <sheetName val="RG_depots_jaar7"/>
      <sheetName val="Datos_por_SKU-categoria_2011_A6"/>
      <sheetName val="Lista_total6"/>
      <sheetName val="Controls_data6"/>
      <sheetName val="список_SKU6"/>
      <sheetName val="Price_list6"/>
      <sheetName val="Budget_Summary6"/>
      <sheetName val="Monthly_Updating&gt;&gt;&gt;6"/>
      <sheetName val="LE_-_Input5"/>
      <sheetName val="drop_downs5"/>
      <sheetName val="Drop_down_list5"/>
      <sheetName val="2_-_KPIs_Impacted_5"/>
      <sheetName val="FX_lookup5"/>
      <sheetName val="Drop_Down_Menus5"/>
      <sheetName val="FX_-_Assumptions4"/>
      <sheetName val="BU17_Summary4"/>
      <sheetName val="Financial_info4"/>
      <sheetName val="Completion_Instructions4"/>
      <sheetName val="Tipos_de_iniciativas4"/>
      <sheetName val="Supply_Cost_Centers4"/>
      <sheetName val="VIC_R&amp;O_List4"/>
      <sheetName val="Selection_Lists4"/>
      <sheetName val="Sales_Package_Input4"/>
      <sheetName val="Reference_tab4"/>
      <sheetName val="Other_Listings3"/>
      <sheetName val="Validacion_#13"/>
      <sheetName val="BASE_LISTAS3"/>
      <sheetName val="R&amp;O_List3"/>
      <sheetName val="Cuentas_y_CeCos3"/>
      <sheetName val="RG%20depots%20jaar_XLS3"/>
      <sheetName val="MasterData"/>
      <sheetName val="요일 테이블"/>
      <sheetName val="구분"/>
      <sheetName val="MD"/>
      <sheetName val="요일_테이블"/>
      <sheetName val="Sheet1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 refreshError="1"/>
      <sheetData sheetId="356" refreshError="1"/>
      <sheetData sheetId="357" refreshError="1"/>
      <sheetData sheetId="358" refreshError="1"/>
      <sheetData sheetId="359"/>
      <sheetData sheetId="3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 LMU"/>
      <sheetName val="Données Euro"/>
      <sheetName val="Donn?es LMU"/>
      <sheetName val="Donn_es LMU"/>
      <sheetName val="은행"/>
      <sheetName val="Menu"/>
      <sheetName val="GuV"/>
      <sheetName val="TEMP"/>
      <sheetName val="Table of Contents"/>
      <sheetName val="Customer Hierarchy 客户层次"/>
      <sheetName val="Sales Company 销售公司"/>
      <sheetName val="Prd.Hierarchy 产品层次"/>
      <sheetName val="销量区域"/>
      <sheetName val="销量品牌"/>
      <sheetName val="Mapping"/>
      <sheetName val="SKU Mapping"/>
      <sheetName val="Brazil Sovereign"/>
      <sheetName val="List"/>
      <sheetName val="Lists"/>
      <sheetName val="Mix Data Dimension List"/>
      <sheetName val="Chart"/>
      <sheetName val="DATA LIST"/>
      <sheetName val="Sheet3"/>
      <sheetName val="Price DB"/>
      <sheetName val="Volume by month"/>
      <sheetName val="Sheet2"/>
      <sheetName val="LookUp"/>
      <sheetName val="数据"/>
      <sheetName val="RG Depots"/>
      <sheetName val="Sheet5"/>
      <sheetName val="Sheet1"/>
      <sheetName val="WS经销商"/>
      <sheetName val="Sheet8"/>
      <sheetName val="补贴标准"/>
      <sheetName val="MD2"/>
      <sheetName val="MD"/>
      <sheetName val="evolution_KR"/>
      <sheetName val="DRopDown &amp; Past Y11"/>
      <sheetName val="#REF"/>
      <sheetName val="EVA1"/>
      <sheetName val="SUMMARY"/>
      <sheetName val="contri"/>
      <sheetName val="All Accounts"/>
      <sheetName val="All Cies allocated_F10"/>
      <sheetName val="Curr"/>
      <sheetName val="b3 scope erb reworked"/>
      <sheetName val="taux RP2"/>
      <sheetName val="Format BV"/>
      <sheetName val="P&amp;Lrestatements"/>
      <sheetName val="Feuil3"/>
      <sheetName val="GW above BU level"/>
      <sheetName val="Ecarts ch vs 2000"/>
      <sheetName val="Contrôle"/>
      <sheetName val="cr FR"/>
      <sheetName val="Front page"/>
      <sheetName val="Selections"/>
      <sheetName val="Checklist"/>
      <sheetName val="calendar-REZ"/>
      <sheetName val="October 2003"/>
      <sheetName val="IFRS_Restatement"/>
      <sheetName val="Divers"/>
      <sheetName val="EVA €"/>
      <sheetName val="Contrib (LGALL)"/>
      <sheetName val="exchange rates"/>
      <sheetName val="calendar "/>
      <sheetName val="ACH"/>
      <sheetName val="Accounts"/>
      <sheetName val="CA origine"/>
      <sheetName val="Exchange"/>
      <sheetName val="Choix"/>
      <sheetName val="WB Volumes"/>
      <sheetName val="Unit Freight and Distances USWB"/>
      <sheetName val="Income Stat datachart"/>
      <sheetName val="JC Prices"/>
      <sheetName val="Manufacturing datachart"/>
      <sheetName val="Market"/>
      <sheetName val="WB Prices"/>
      <sheetName val="WB Revenues"/>
      <sheetName val="Rest of P&amp;L"/>
      <sheetName val="Cont. Wilm."/>
      <sheetName val="Result €"/>
      <sheetName val="Sales per Product ALL"/>
      <sheetName val="BC"/>
      <sheetName val="PY12_F10"/>
      <sheetName val="BU_Q_F10"/>
      <sheetName val="BU12_F10"/>
      <sheetName val="BU_PQ_F10"/>
      <sheetName val="CY_PQ_F10"/>
      <sheetName val="PY_PQ_F10"/>
      <sheetName val="PY_Q_F10"/>
      <sheetName val="WB + JC Production"/>
      <sheetName val="Manufacturing costsxx"/>
      <sheetName val="Contribution by PC 2"/>
      <sheetName val="Prod Fixed Costs"/>
      <sheetName val="Interim QoE"/>
      <sheetName val="SG&amp;A"/>
      <sheetName val="Gross to Net Sales"/>
      <sheetName val="Net Sales by PC1"/>
      <sheetName val="Net Sales by PC2"/>
      <sheetName val="Var Prod costs (Overview)"/>
      <sheetName val="PB Manufacturing costs"/>
      <sheetName val="MS Manufacturing costs"/>
      <sheetName val="BO2"/>
      <sheetName val="EBIT proforma"/>
      <sheetName val="Données_LMU"/>
      <sheetName val="Données_Euro"/>
      <sheetName val="Donn?es_LMU"/>
      <sheetName val="Donn_es_LMU"/>
      <sheetName val="Table_of_Contents"/>
      <sheetName val="Customer_Hierarchy_客户层次"/>
      <sheetName val="Sales_Company_销售公司"/>
      <sheetName val="Prd_Hierarchy_产品层次"/>
      <sheetName val="SKU_Mapping"/>
      <sheetName val="Brazil_Sovereign"/>
      <sheetName val="Mix_Data_Dimension_List"/>
      <sheetName val="DATA_LIST"/>
      <sheetName val="Price_DB"/>
      <sheetName val="Volume_by_month"/>
      <sheetName val="下拉选项"/>
      <sheetName val="Hoja1"/>
      <sheetName val="Données_LMU1"/>
      <sheetName val="Données_Euro1"/>
      <sheetName val="Donn?es_LMU1"/>
      <sheetName val="Donn_es_LMU1"/>
      <sheetName val="Table_of_Contents1"/>
      <sheetName val="Customer_Hierarchy_客户层次1"/>
      <sheetName val="Sales_Company_销售公司1"/>
      <sheetName val="Prd_Hierarchy_产品层次1"/>
      <sheetName val="SKU_Mapping1"/>
      <sheetName val="Brazil_Sovereign1"/>
      <sheetName val="Mix_Data_Dimension_List1"/>
      <sheetName val="DATA_LIST1"/>
      <sheetName val="Price_DB1"/>
      <sheetName val="Volume_by_month1"/>
      <sheetName val="RG_Depots"/>
      <sheetName val="DRopDown_&amp;_Past_Y11"/>
      <sheetName val="All_Accounts"/>
      <sheetName val="All_Cies_allocated_F10"/>
      <sheetName val="b3_scope_erb_reworked"/>
      <sheetName val="taux_RP2"/>
      <sheetName val="Format_BV"/>
      <sheetName val="GW_above_BU_level"/>
      <sheetName val="Ecarts_ch_vs_2000"/>
      <sheetName val="cr_FR"/>
      <sheetName val="Front_page"/>
      <sheetName val="October_2003"/>
      <sheetName val="EVA_€"/>
      <sheetName val="Contrib_(LGALL)"/>
      <sheetName val="exchange_rates"/>
      <sheetName val="calendar_"/>
      <sheetName val="CA_origine"/>
      <sheetName val="WB_Volumes"/>
      <sheetName val="Unit_Freight_and_Distances_USWB"/>
      <sheetName val="Income_Stat_datachart"/>
      <sheetName val="JC_Prices"/>
      <sheetName val="Manufacturing_datachart"/>
      <sheetName val="WB_Prices"/>
      <sheetName val="WB_Revenues"/>
      <sheetName val="Rest_of_P&amp;L"/>
      <sheetName val="Cont__Wilm_"/>
      <sheetName val="Result_€"/>
      <sheetName val="Sales_per_Product_ALL"/>
      <sheetName val="WB_+_JC_Production"/>
      <sheetName val="Manufacturing_costsxx"/>
      <sheetName val="Contribution_by_PC_2"/>
      <sheetName val="Prod_Fixed_Costs"/>
      <sheetName val="Interim_QoE"/>
      <sheetName val="Gross_to_Net_Sales"/>
      <sheetName val="Net_Sales_by_PC1"/>
      <sheetName val="Net_Sales_by_PC2"/>
      <sheetName val="Var_Prod_costs_(Overview)"/>
      <sheetName val="PB_Manufacturing_costs"/>
      <sheetName val="MS_Manufacturing_costs"/>
      <sheetName val="EBIT_proforma"/>
      <sheetName val="People Spec"/>
      <sheetName val="Vtas"/>
      <sheetName val="Financ"/>
      <sheetName val="CA"/>
      <sheetName val="MKT- Brand management"/>
      <sheetName val="MKT- Supp"/>
      <sheetName val="Supply-Supp"/>
      <sheetName val="Logist"/>
      <sheetName val="Procur"/>
      <sheetName val="Leg"/>
      <sheetName val="IT-"/>
      <sheetName val="经销商"/>
      <sheetName val="Sheet1 (2)"/>
      <sheetName val="A"/>
      <sheetName val="标准运费"/>
      <sheetName val="FJJX Bud_IB"/>
      <sheetName val="Données_LMU2"/>
      <sheetName val="Données_Euro2"/>
      <sheetName val="Donn?es_LMU2"/>
      <sheetName val="Donn_es_LMU2"/>
      <sheetName val="Table_of_Contents2"/>
      <sheetName val="Customer_Hierarchy_客户层次2"/>
      <sheetName val="Sales_Company_销售公司2"/>
      <sheetName val="Prd_Hierarchy_产品层次2"/>
      <sheetName val="SKU_Mapping2"/>
      <sheetName val="Brazil_Sovereign2"/>
      <sheetName val="Mix_Data_Dimension_List2"/>
      <sheetName val="DATA_LIST2"/>
      <sheetName val="Price_DB2"/>
      <sheetName val="Volume_by_month2"/>
      <sheetName val="RG_Depots1"/>
      <sheetName val="DRopDown_&amp;_Past_Y111"/>
      <sheetName val="All_Accounts1"/>
      <sheetName val="All_Cies_allocated_F101"/>
      <sheetName val="b3_scope_erb_reworked1"/>
      <sheetName val="taux_RP21"/>
      <sheetName val="Format_BV1"/>
      <sheetName val="GW_above_BU_level1"/>
      <sheetName val="Ecarts_ch_vs_20001"/>
      <sheetName val="cr_FR1"/>
      <sheetName val="Front_page1"/>
      <sheetName val="October_20031"/>
      <sheetName val="EVA_€1"/>
      <sheetName val="Contrib_(LGALL)1"/>
      <sheetName val="exchange_rates1"/>
      <sheetName val="calendar_1"/>
      <sheetName val="CA_origine1"/>
      <sheetName val="WB_Volumes1"/>
      <sheetName val="Unit_Freight_and_Distances_USW1"/>
      <sheetName val="Income_Stat_datachart1"/>
      <sheetName val="JC_Prices1"/>
      <sheetName val="Manufacturing_datachart1"/>
      <sheetName val="WB_Prices1"/>
      <sheetName val="WB_Revenues1"/>
      <sheetName val="Rest_of_P&amp;L1"/>
      <sheetName val="Cont__Wilm_1"/>
      <sheetName val="Result_€1"/>
      <sheetName val="Sales_per_Product_ALL1"/>
      <sheetName val="WB_+_JC_Production1"/>
      <sheetName val="Manufacturing_costsxx1"/>
      <sheetName val="Contribution_by_PC_21"/>
      <sheetName val="Prod_Fixed_Costs1"/>
      <sheetName val="Interim_QoE1"/>
      <sheetName val="Gross_to_Net_Sales1"/>
      <sheetName val="Net_Sales_by_PC11"/>
      <sheetName val="Net_Sales_by_PC21"/>
      <sheetName val="Var_Prod_costs_(Overview)1"/>
      <sheetName val="PB_Manufacturing_costs1"/>
      <sheetName val="MS_Manufacturing_costs1"/>
      <sheetName val="EBIT_proforma1"/>
      <sheetName val="区域"/>
      <sheetName val="参考字段（不许更改）"/>
      <sheetName val="Department"/>
      <sheetName val="People_Spec"/>
      <sheetName val="MKT-_Brand_management"/>
      <sheetName val="MKT-_Supp"/>
      <sheetName val="Données_LMU3"/>
      <sheetName val="Données_Euro3"/>
      <sheetName val="Donn?es_LMU3"/>
      <sheetName val="Donn_es_LMU3"/>
      <sheetName val="Table_of_Contents3"/>
      <sheetName val="Customer_Hierarchy_客户层次3"/>
      <sheetName val="Sales_Company_销售公司3"/>
      <sheetName val="Prd_Hierarchy_产品层次3"/>
      <sheetName val="SKU_Mapping3"/>
      <sheetName val="Brazil_Sovereign3"/>
      <sheetName val="Mix_Data_Dimension_List3"/>
      <sheetName val="DATA_LIST3"/>
      <sheetName val="Price_DB3"/>
      <sheetName val="Volume_by_month3"/>
      <sheetName val="RG_Depots2"/>
      <sheetName val="DRopDown_&amp;_Past_Y112"/>
      <sheetName val="All_Accounts2"/>
      <sheetName val="All_Cies_allocated_F102"/>
      <sheetName val="b3_scope_erb_reworked2"/>
      <sheetName val="taux_RP22"/>
      <sheetName val="Format_BV2"/>
      <sheetName val="GW_above_BU_level2"/>
      <sheetName val="Ecarts_ch_vs_20002"/>
      <sheetName val="cr_FR2"/>
      <sheetName val="Front_page2"/>
      <sheetName val="October_20032"/>
      <sheetName val="EVA_€2"/>
      <sheetName val="Contrib_(LGALL)2"/>
      <sheetName val="exchange_rates2"/>
      <sheetName val="calendar_2"/>
      <sheetName val="CA_origine2"/>
      <sheetName val="WB_Volumes2"/>
      <sheetName val="Unit_Freight_and_Distances_USW2"/>
      <sheetName val="Income_Stat_datachart2"/>
      <sheetName val="JC_Prices2"/>
      <sheetName val="Manufacturing_datachart2"/>
      <sheetName val="WB_Prices2"/>
      <sheetName val="WB_Revenues2"/>
      <sheetName val="Rest_of_P&amp;L2"/>
      <sheetName val="Cont__Wilm_2"/>
      <sheetName val="Result_€2"/>
      <sheetName val="Sales_per_Product_ALL2"/>
      <sheetName val="WB_+_JC_Production2"/>
      <sheetName val="Manufacturing_costsxx2"/>
      <sheetName val="Contribution_by_PC_22"/>
      <sheetName val="Prod_Fixed_Costs2"/>
      <sheetName val="Interim_QoE2"/>
      <sheetName val="Gross_to_Net_Sales2"/>
      <sheetName val="Net_Sales_by_PC12"/>
      <sheetName val="Net_Sales_by_PC22"/>
      <sheetName val="Var_Prod_costs_(Overview)2"/>
      <sheetName val="PB_Manufacturing_costs2"/>
      <sheetName val="MS_Manufacturing_costs2"/>
      <sheetName val="EBIT_proforma2"/>
      <sheetName val="People_Spec1"/>
      <sheetName val="MKT-_Brand_management1"/>
      <sheetName val="MKT-_Supp1"/>
      <sheetName val="Sheet1_(2)"/>
      <sheetName val="FJJX_Bud_IB"/>
      <sheetName val="LE Mapping"/>
      <sheetName val="下拉列表"/>
      <sheetName val="Données_LMU4"/>
      <sheetName val="Données_Euro4"/>
      <sheetName val="Donn?es_LMU4"/>
      <sheetName val="Donn_es_LMU4"/>
      <sheetName val="Table_of_Contents4"/>
      <sheetName val="Customer_Hierarchy_客户层次4"/>
      <sheetName val="Sales_Company_销售公司4"/>
      <sheetName val="Prd_Hierarchy_产品层次4"/>
      <sheetName val="SKU_Mapping4"/>
      <sheetName val="Brazil_Sovereign4"/>
      <sheetName val="Mix_Data_Dimension_List4"/>
      <sheetName val="DATA_LIST4"/>
      <sheetName val="Price_DB4"/>
      <sheetName val="Volume_by_month4"/>
      <sheetName val="RG_Depots3"/>
      <sheetName val="DRopDown_&amp;_Past_Y113"/>
      <sheetName val="All_Accounts3"/>
      <sheetName val="All_Cies_allocated_F103"/>
      <sheetName val="b3_scope_erb_reworked3"/>
      <sheetName val="taux_RP23"/>
      <sheetName val="Format_BV3"/>
      <sheetName val="GW_above_BU_level3"/>
      <sheetName val="Ecarts_ch_vs_20003"/>
      <sheetName val="cr_FR3"/>
      <sheetName val="Front_page3"/>
      <sheetName val="October_20033"/>
      <sheetName val="EVA_€3"/>
      <sheetName val="Contrib_(LGALL)3"/>
      <sheetName val="exchange_rates3"/>
      <sheetName val="calendar_3"/>
      <sheetName val="CA_origine3"/>
      <sheetName val="WB_Volumes3"/>
      <sheetName val="Unit_Freight_and_Distances_USW3"/>
      <sheetName val="Income_Stat_datachart3"/>
      <sheetName val="JC_Prices3"/>
      <sheetName val="Manufacturing_datachart3"/>
      <sheetName val="WB_Prices3"/>
      <sheetName val="WB_Revenues3"/>
      <sheetName val="Rest_of_P&amp;L3"/>
      <sheetName val="Cont__Wilm_3"/>
      <sheetName val="Result_€3"/>
      <sheetName val="Sales_per_Product_ALL3"/>
      <sheetName val="WB_+_JC_Production3"/>
      <sheetName val="Manufacturing_costsxx3"/>
      <sheetName val="Contribution_by_PC_23"/>
      <sheetName val="Prod_Fixed_Costs3"/>
      <sheetName val="Interim_QoE3"/>
      <sheetName val="Gross_to_Net_Sales3"/>
      <sheetName val="Net_Sales_by_PC13"/>
      <sheetName val="Net_Sales_by_PC23"/>
      <sheetName val="Var_Prod_costs_(Overview)3"/>
      <sheetName val="PB_Manufacturing_costs3"/>
      <sheetName val="MS_Manufacturing_costs3"/>
      <sheetName val="EBIT_proforma3"/>
      <sheetName val="People_Spec2"/>
      <sheetName val="MKT-_Brand_management2"/>
      <sheetName val="MKT-_Supp2"/>
      <sheetName val="Sheet1_(2)1"/>
      <sheetName val="FJJX_Bud_IB1"/>
      <sheetName val="LE_Mapping"/>
      <sheetName val="定义区"/>
      <sheetName val="mapping (2)"/>
      <sheetName val="Hoja2"/>
      <sheetName val="Données_LMU5"/>
      <sheetName val="Données_Euro5"/>
      <sheetName val="Donn?es_LMU5"/>
      <sheetName val="Donn_es_LMU5"/>
      <sheetName val="Table_of_Contents5"/>
      <sheetName val="Customer_Hierarchy_客户层次5"/>
      <sheetName val="Sales_Company_销售公司5"/>
      <sheetName val="Prd_Hierarchy_产品层次5"/>
      <sheetName val="SKU_Mapping5"/>
      <sheetName val="Brazil_Sovereign5"/>
      <sheetName val="Mix_Data_Dimension_List5"/>
      <sheetName val="DATA_LIST5"/>
      <sheetName val="Price_DB5"/>
      <sheetName val="Volume_by_month5"/>
      <sheetName val="RG_Depots4"/>
      <sheetName val="DRopDown_&amp;_Past_Y114"/>
      <sheetName val="All_Accounts4"/>
      <sheetName val="All_Cies_allocated_F104"/>
      <sheetName val="b3_scope_erb_reworked4"/>
      <sheetName val="taux_RP24"/>
      <sheetName val="Format_BV4"/>
      <sheetName val="GW_above_BU_level4"/>
      <sheetName val="Ecarts_ch_vs_20004"/>
      <sheetName val="cr_FR4"/>
      <sheetName val="Front_page4"/>
      <sheetName val="October_20034"/>
      <sheetName val="EVA_€4"/>
      <sheetName val="Contrib_(LGALL)4"/>
      <sheetName val="exchange_rates4"/>
      <sheetName val="calendar_4"/>
      <sheetName val="CA_origine4"/>
      <sheetName val="WB_Volumes4"/>
      <sheetName val="Unit_Freight_and_Distances_USW4"/>
      <sheetName val="Income_Stat_datachart4"/>
      <sheetName val="JC_Prices4"/>
      <sheetName val="Manufacturing_datachart4"/>
      <sheetName val="WB_Prices4"/>
      <sheetName val="WB_Revenues4"/>
      <sheetName val="Rest_of_P&amp;L4"/>
      <sheetName val="Cont__Wilm_4"/>
      <sheetName val="Result_€4"/>
      <sheetName val="Sales_per_Product_ALL4"/>
      <sheetName val="WB_+_JC_Production4"/>
      <sheetName val="Manufacturing_costsxx4"/>
      <sheetName val="Contribution_by_PC_24"/>
      <sheetName val="Prod_Fixed_Costs4"/>
      <sheetName val="Interim_QoE4"/>
      <sheetName val="Gross_to_Net_Sales4"/>
      <sheetName val="Net_Sales_by_PC14"/>
      <sheetName val="Net_Sales_by_PC24"/>
      <sheetName val="Var_Prod_costs_(Overview)4"/>
      <sheetName val="PB_Manufacturing_costs4"/>
      <sheetName val="MS_Manufacturing_costs4"/>
      <sheetName val="EBIT_proforma4"/>
      <sheetName val="People_Spec3"/>
      <sheetName val="MKT-_Brand_management3"/>
      <sheetName val="MKT-_Supp3"/>
      <sheetName val="Sheet1_(2)2"/>
      <sheetName val="FJJX_Bud_IB2"/>
      <sheetName val="LE_Mapping1"/>
      <sheetName val="mapping_(2)"/>
      <sheetName val="GRAPHS"/>
      <sheetName val="VIC"/>
      <sheetName val="VLC"/>
      <sheetName val="Données_LMU6"/>
      <sheetName val="Données_Euro6"/>
      <sheetName val="Donn?es_LMU6"/>
      <sheetName val="Donn_es_LMU6"/>
      <sheetName val="Table_of_Contents6"/>
      <sheetName val="Customer_Hierarchy_客户层次6"/>
      <sheetName val="Sales_Company_销售公司6"/>
      <sheetName val="Prd_Hierarchy_产品层次6"/>
      <sheetName val="SKU_Mapping6"/>
      <sheetName val="Brazil_Sovereign6"/>
      <sheetName val="Mix_Data_Dimension_List6"/>
      <sheetName val="DATA_LIST6"/>
      <sheetName val="Price_DB6"/>
      <sheetName val="Volume_by_month6"/>
      <sheetName val="RG_Depots5"/>
      <sheetName val="DRopDown_&amp;_Past_Y115"/>
      <sheetName val="All_Accounts5"/>
      <sheetName val="All_Cies_allocated_F105"/>
      <sheetName val="b3_scope_erb_reworked5"/>
      <sheetName val="taux_RP25"/>
      <sheetName val="Format_BV5"/>
      <sheetName val="GW_above_BU_level5"/>
      <sheetName val="Ecarts_ch_vs_20005"/>
      <sheetName val="cr_FR5"/>
      <sheetName val="Front_page5"/>
      <sheetName val="October_20035"/>
      <sheetName val="EVA_€5"/>
      <sheetName val="Contrib_(LGALL)5"/>
      <sheetName val="exchange_rates5"/>
      <sheetName val="calendar_5"/>
      <sheetName val="CA_origine5"/>
      <sheetName val="WB_Volumes5"/>
      <sheetName val="Unit_Freight_and_Distances_USW5"/>
      <sheetName val="Income_Stat_datachart5"/>
      <sheetName val="JC_Prices5"/>
      <sheetName val="Manufacturing_datachart5"/>
      <sheetName val="WB_Prices5"/>
      <sheetName val="WB_Revenues5"/>
      <sheetName val="Rest_of_P&amp;L5"/>
      <sheetName val="Cont__Wilm_5"/>
      <sheetName val="Result_€5"/>
      <sheetName val="Sales_per_Product_ALL5"/>
      <sheetName val="WB_+_JC_Production5"/>
      <sheetName val="Manufacturing_costsxx5"/>
      <sheetName val="Contribution_by_PC_25"/>
      <sheetName val="Prod_Fixed_Costs5"/>
      <sheetName val="Interim_QoE5"/>
      <sheetName val="Gross_to_Net_Sales5"/>
      <sheetName val="Net_Sales_by_PC15"/>
      <sheetName val="Net_Sales_by_PC25"/>
      <sheetName val="Var_Prod_costs_(Overview)5"/>
      <sheetName val="PB_Manufacturing_costs5"/>
      <sheetName val="MS_Manufacturing_costs5"/>
      <sheetName val="EBIT_proforma5"/>
      <sheetName val="People_Spec4"/>
      <sheetName val="MKT-_Brand_management4"/>
      <sheetName val="MKT-_Supp4"/>
      <sheetName val="Sheet1_(2)3"/>
      <sheetName val="FJJX_Bud_IB3"/>
      <sheetName val="LE_Mapping2"/>
      <sheetName val="mapping_(2)1"/>
      <sheetName val="销售组织"/>
      <sheetName val="SAP品牌"/>
      <sheetName val="规则"/>
      <sheetName val="物料主数据"/>
      <sheetName val="IH跟踪"/>
      <sheetName val="M3"/>
      <sheetName val="MMR12"/>
      <sheetName val="Blad2"/>
      <sheetName val="Données_LMU7"/>
      <sheetName val="Données_Euro7"/>
      <sheetName val="Donn?es_LMU7"/>
      <sheetName val="Donn_es_LMU7"/>
      <sheetName val="Table_of_Contents7"/>
      <sheetName val="Customer_Hierarchy_客户层次7"/>
      <sheetName val="Sales_Company_销售公司7"/>
      <sheetName val="Prd_Hierarchy_产品层次7"/>
      <sheetName val="SKU_Mapping7"/>
      <sheetName val="Brazil_Sovereign7"/>
      <sheetName val="Mix_Data_Dimension_List7"/>
      <sheetName val="DATA_LIST7"/>
      <sheetName val="Price_DB7"/>
      <sheetName val="Volume_by_month7"/>
      <sheetName val="RG_Depots6"/>
      <sheetName val="DRopDown_&amp;_Past_Y116"/>
      <sheetName val="All_Accounts6"/>
      <sheetName val="All_Cies_allocated_F106"/>
      <sheetName val="b3_scope_erb_reworked6"/>
      <sheetName val="taux_RP26"/>
      <sheetName val="Format_BV6"/>
      <sheetName val="GW_above_BU_level6"/>
      <sheetName val="Ecarts_ch_vs_20006"/>
      <sheetName val="cr_FR6"/>
      <sheetName val="Front_page6"/>
      <sheetName val="October_20036"/>
      <sheetName val="EVA_€6"/>
      <sheetName val="Contrib_(LGALL)6"/>
      <sheetName val="exchange_rates6"/>
      <sheetName val="calendar_6"/>
      <sheetName val="CA_origine6"/>
      <sheetName val="WB_Volumes6"/>
      <sheetName val="Unit_Freight_and_Distances_USW6"/>
      <sheetName val="Income_Stat_datachart6"/>
      <sheetName val="JC_Prices6"/>
      <sheetName val="Manufacturing_datachart6"/>
      <sheetName val="WB_Prices6"/>
      <sheetName val="WB_Revenues6"/>
      <sheetName val="Rest_of_P&amp;L6"/>
      <sheetName val="Cont__Wilm_6"/>
      <sheetName val="Result_€6"/>
      <sheetName val="Sales_per_Product_ALL6"/>
      <sheetName val="WB_+_JC_Production6"/>
      <sheetName val="Manufacturing_costsxx6"/>
      <sheetName val="Contribution_by_PC_26"/>
      <sheetName val="Prod_Fixed_Costs6"/>
      <sheetName val="Interim_QoE6"/>
      <sheetName val="Gross_to_Net_Sales6"/>
      <sheetName val="Net_Sales_by_PC16"/>
      <sheetName val="Net_Sales_by_PC26"/>
      <sheetName val="Var_Prod_costs_(Overview)6"/>
      <sheetName val="PB_Manufacturing_costs6"/>
      <sheetName val="MS_Manufacturing_costs6"/>
      <sheetName val="EBIT_proforma6"/>
      <sheetName val="People_Spec5"/>
      <sheetName val="MKT-_Brand_management5"/>
      <sheetName val="MKT-_Supp5"/>
      <sheetName val="Sheet1_(2)4"/>
      <sheetName val="FJJX_Bud_IB4"/>
      <sheetName val="LE_Mapping3"/>
      <sheetName val="mapping_(2)2"/>
      <sheetName val="Données_LMU8"/>
      <sheetName val="Données_Euro8"/>
      <sheetName val="Donn?es_LMU8"/>
      <sheetName val="Donn_es_LMU8"/>
      <sheetName val="Table_of_Contents8"/>
      <sheetName val="Customer_Hierarchy_客户层次8"/>
      <sheetName val="Sales_Company_销售公司8"/>
      <sheetName val="Prd_Hierarchy_产品层次8"/>
      <sheetName val="SKU_Mapping8"/>
      <sheetName val="Brazil_Sovereign8"/>
      <sheetName val="Mix_Data_Dimension_List8"/>
      <sheetName val="DATA_LIST8"/>
      <sheetName val="Price_DB8"/>
      <sheetName val="Volume_by_month8"/>
      <sheetName val="RG_Depots7"/>
      <sheetName val="DRopDown_&amp;_Past_Y117"/>
      <sheetName val="All_Accounts7"/>
      <sheetName val="All_Cies_allocated_F107"/>
      <sheetName val="b3_scope_erb_reworked7"/>
      <sheetName val="taux_RP27"/>
      <sheetName val="Format_BV7"/>
      <sheetName val="GW_above_BU_level7"/>
      <sheetName val="Ecarts_ch_vs_20007"/>
      <sheetName val="cr_FR7"/>
      <sheetName val="Front_page7"/>
      <sheetName val="October_20037"/>
      <sheetName val="EVA_€7"/>
      <sheetName val="Contrib_(LGALL)7"/>
      <sheetName val="exchange_rates7"/>
      <sheetName val="calendar_7"/>
      <sheetName val="CA_origine7"/>
      <sheetName val="WB_Volumes7"/>
      <sheetName val="Unit_Freight_and_Distances_USW7"/>
      <sheetName val="Income_Stat_datachart7"/>
      <sheetName val="JC_Prices7"/>
      <sheetName val="Manufacturing_datachart7"/>
      <sheetName val="WB_Prices7"/>
      <sheetName val="WB_Revenues7"/>
      <sheetName val="Rest_of_P&amp;L7"/>
      <sheetName val="Cont__Wilm_7"/>
      <sheetName val="Result_€7"/>
      <sheetName val="Sales_per_Product_ALL7"/>
      <sheetName val="WB_+_JC_Production7"/>
      <sheetName val="Manufacturing_costsxx7"/>
      <sheetName val="Contribution_by_PC_27"/>
      <sheetName val="Prod_Fixed_Costs7"/>
      <sheetName val="Interim_QoE7"/>
      <sheetName val="Gross_to_Net_Sales7"/>
      <sheetName val="Net_Sales_by_PC17"/>
      <sheetName val="Net_Sales_by_PC27"/>
      <sheetName val="Var_Prod_costs_(Overview)7"/>
      <sheetName val="PB_Manufacturing_costs7"/>
      <sheetName val="MS_Manufacturing_costs7"/>
      <sheetName val="EBIT_proforma7"/>
      <sheetName val="Sheet1_(2)5"/>
      <sheetName val="People_Spec6"/>
      <sheetName val="MKT-_Brand_management6"/>
      <sheetName val="MKT-_Supp6"/>
      <sheetName val="FJJX_Bud_IB5"/>
      <sheetName val="LE_Mapping4"/>
      <sheetName val="mapping_(2)3"/>
      <sheetName val="Données_LMU9"/>
      <sheetName val="Données_Euro9"/>
      <sheetName val="Donn?es_LMU9"/>
      <sheetName val="Donn_es_LMU9"/>
      <sheetName val="Table_of_Contents9"/>
      <sheetName val="Customer_Hierarchy_客户层次9"/>
      <sheetName val="Sales_Company_销售公司9"/>
      <sheetName val="Prd_Hierarchy_产品层次9"/>
      <sheetName val="SKU_Mapping9"/>
      <sheetName val="Brazil_Sovereign9"/>
      <sheetName val="Mix_Data_Dimension_List9"/>
      <sheetName val="DATA_LIST9"/>
      <sheetName val="Price_DB9"/>
      <sheetName val="Volume_by_month9"/>
      <sheetName val="RG_Depots8"/>
      <sheetName val="DRopDown_&amp;_Past_Y118"/>
      <sheetName val="All_Accounts8"/>
      <sheetName val="All_Cies_allocated_F108"/>
      <sheetName val="b3_scope_erb_reworked8"/>
      <sheetName val="taux_RP28"/>
      <sheetName val="Format_BV8"/>
      <sheetName val="GW_above_BU_level8"/>
      <sheetName val="Ecarts_ch_vs_20008"/>
      <sheetName val="cr_FR8"/>
      <sheetName val="Front_page8"/>
      <sheetName val="October_20038"/>
      <sheetName val="EVA_€8"/>
      <sheetName val="Contrib_(LGALL)8"/>
      <sheetName val="exchange_rates8"/>
      <sheetName val="calendar_8"/>
      <sheetName val="CA_origine8"/>
      <sheetName val="WB_Volumes8"/>
      <sheetName val="Unit_Freight_and_Distances_USW8"/>
      <sheetName val="Income_Stat_datachart8"/>
      <sheetName val="JC_Prices8"/>
      <sheetName val="Manufacturing_datachart8"/>
      <sheetName val="WB_Prices8"/>
      <sheetName val="WB_Revenues8"/>
      <sheetName val="Rest_of_P&amp;L8"/>
      <sheetName val="Cont__Wilm_8"/>
      <sheetName val="Result_€8"/>
      <sheetName val="Sales_per_Product_ALL8"/>
      <sheetName val="WB_+_JC_Production8"/>
      <sheetName val="Manufacturing_costsxx8"/>
      <sheetName val="Contribution_by_PC_28"/>
      <sheetName val="Prod_Fixed_Costs8"/>
      <sheetName val="Interim_QoE8"/>
      <sheetName val="Gross_to_Net_Sales8"/>
      <sheetName val="Net_Sales_by_PC18"/>
      <sheetName val="Net_Sales_by_PC28"/>
      <sheetName val="Var_Prod_costs_(Overview)8"/>
      <sheetName val="PB_Manufacturing_costs8"/>
      <sheetName val="MS_Manufacturing_costs8"/>
      <sheetName val="EBIT_proforma8"/>
      <sheetName val="Sheet1_(2)6"/>
      <sheetName val="FJJX_Bud_IB6"/>
      <sheetName val="People_Spec7"/>
      <sheetName val="MKT-_Brand_management7"/>
      <sheetName val="MKT-_Supp7"/>
      <sheetName val="LE_Mapping5"/>
      <sheetName val="mapping_(2)4"/>
      <sheetName val="产品信息页"/>
      <sheetName val="Données_LMU10"/>
      <sheetName val="Données_Euro10"/>
      <sheetName val="Donn?es_LMU10"/>
      <sheetName val="Donn_es_LMU10"/>
      <sheetName val="Table_of_Contents10"/>
      <sheetName val="Customer_Hierarchy_客户层次10"/>
      <sheetName val="Sales_Company_销售公司10"/>
      <sheetName val="Prd_Hierarchy_产品层次10"/>
      <sheetName val="SKU_Mapping10"/>
      <sheetName val="Brazil_Sovereign10"/>
      <sheetName val="Mix_Data_Dimension_List10"/>
      <sheetName val="DATA_LIST10"/>
      <sheetName val="Price_DB10"/>
      <sheetName val="Volume_by_month10"/>
      <sheetName val="RG_Depots9"/>
      <sheetName val="DRopDown_&amp;_Past_Y119"/>
      <sheetName val="All_Accounts9"/>
      <sheetName val="All_Cies_allocated_F109"/>
      <sheetName val="b3_scope_erb_reworked9"/>
      <sheetName val="taux_RP29"/>
      <sheetName val="Format_BV9"/>
      <sheetName val="GW_above_BU_level9"/>
      <sheetName val="Ecarts_ch_vs_20009"/>
      <sheetName val="cr_FR9"/>
      <sheetName val="Front_page9"/>
      <sheetName val="October_20039"/>
      <sheetName val="EVA_€9"/>
      <sheetName val="Contrib_(LGALL)9"/>
      <sheetName val="exchange_rates9"/>
      <sheetName val="calendar_9"/>
      <sheetName val="CA_origine9"/>
      <sheetName val="WB_Volumes9"/>
      <sheetName val="Unit_Freight_and_Distances_USW9"/>
      <sheetName val="Income_Stat_datachart9"/>
      <sheetName val="JC_Prices9"/>
      <sheetName val="Manufacturing_datachart9"/>
      <sheetName val="WB_Prices9"/>
      <sheetName val="WB_Revenues9"/>
      <sheetName val="Rest_of_P&amp;L9"/>
      <sheetName val="Cont__Wilm_9"/>
      <sheetName val="Result_€9"/>
      <sheetName val="Sales_per_Product_ALL9"/>
      <sheetName val="WB_+_JC_Production9"/>
      <sheetName val="Manufacturing_costsxx9"/>
      <sheetName val="Contribution_by_PC_29"/>
      <sheetName val="Prod_Fixed_Costs9"/>
      <sheetName val="Interim_QoE9"/>
      <sheetName val="Gross_to_Net_Sales9"/>
      <sheetName val="Net_Sales_by_PC19"/>
      <sheetName val="Net_Sales_by_PC29"/>
      <sheetName val="Var_Prod_costs_(Overview)9"/>
      <sheetName val="PB_Manufacturing_costs9"/>
      <sheetName val="MS_Manufacturing_costs9"/>
      <sheetName val="EBIT_proforma9"/>
      <sheetName val="Sheet1_(2)7"/>
      <sheetName val="FJJX_Bud_IB7"/>
      <sheetName val="People_Spec8"/>
      <sheetName val="MKT-_Brand_management8"/>
      <sheetName val="MKT-_Supp8"/>
      <sheetName val="LE_Mapping6"/>
      <sheetName val="mapping_(2)5"/>
      <sheetName val="Données_LMU11"/>
      <sheetName val="Données_Euro11"/>
      <sheetName val="Donn?es_LMU11"/>
      <sheetName val="Donn_es_LMU11"/>
      <sheetName val="Table_of_Contents11"/>
      <sheetName val="Customer_Hierarchy_客户层次11"/>
      <sheetName val="Sales_Company_销售公司11"/>
      <sheetName val="Prd_Hierarchy_产品层次11"/>
      <sheetName val="SKU_Mapping11"/>
      <sheetName val="Brazil_Sovereign11"/>
      <sheetName val="Mix_Data_Dimension_List11"/>
      <sheetName val="DATA_LIST11"/>
      <sheetName val="Price_DB11"/>
      <sheetName val="Volume_by_month11"/>
      <sheetName val="RG_Depots10"/>
      <sheetName val="DRopDown_&amp;_Past_Y1110"/>
      <sheetName val="All_Accounts10"/>
      <sheetName val="All_Cies_allocated_F1010"/>
      <sheetName val="b3_scope_erb_reworked10"/>
      <sheetName val="taux_RP210"/>
      <sheetName val="Format_BV10"/>
      <sheetName val="GW_above_BU_level10"/>
      <sheetName val="Ecarts_ch_vs_200010"/>
      <sheetName val="cr_FR10"/>
      <sheetName val="Front_page10"/>
      <sheetName val="October_200310"/>
      <sheetName val="EVA_€10"/>
      <sheetName val="Contrib_(LGALL)10"/>
      <sheetName val="exchange_rates10"/>
      <sheetName val="calendar_10"/>
      <sheetName val="CA_origine10"/>
      <sheetName val="WB_Volumes10"/>
      <sheetName val="Unit_Freight_and_Distances_US10"/>
      <sheetName val="Income_Stat_datachart10"/>
      <sheetName val="JC_Prices10"/>
      <sheetName val="Manufacturing_datachart10"/>
      <sheetName val="WB_Prices10"/>
      <sheetName val="WB_Revenues10"/>
      <sheetName val="Rest_of_P&amp;L10"/>
      <sheetName val="Cont__Wilm_10"/>
      <sheetName val="Result_€10"/>
      <sheetName val="Sales_per_Product_ALL10"/>
      <sheetName val="WB_+_JC_Production10"/>
      <sheetName val="Manufacturing_costsxx10"/>
      <sheetName val="Contribution_by_PC_210"/>
      <sheetName val="Prod_Fixed_Costs10"/>
      <sheetName val="Interim_QoE10"/>
      <sheetName val="Gross_to_Net_Sales10"/>
      <sheetName val="Net_Sales_by_PC110"/>
      <sheetName val="Net_Sales_by_PC210"/>
      <sheetName val="Var_Prod_costs_(Overview)10"/>
      <sheetName val="PB_Manufacturing_costs10"/>
      <sheetName val="MS_Manufacturing_costs10"/>
      <sheetName val="EBIT_proforma10"/>
      <sheetName val="People_Spec9"/>
      <sheetName val="MKT-_Brand_management9"/>
      <sheetName val="MKT-_Supp9"/>
      <sheetName val="Sheet1_(2)8"/>
      <sheetName val="FJJX_Bud_IB8"/>
      <sheetName val="LE_Mapping7"/>
      <sheetName val="mapping_(2)6"/>
      <sheetName val="Données_LMU12"/>
      <sheetName val="Données_Euro12"/>
      <sheetName val="Donn?es_LMU12"/>
      <sheetName val="Donn_es_LMU12"/>
      <sheetName val="Table_of_Contents12"/>
      <sheetName val="Customer_Hierarchy_客户层次12"/>
      <sheetName val="Sales_Company_销售公司12"/>
      <sheetName val="Prd_Hierarchy_产品层次12"/>
      <sheetName val="SKU_Mapping12"/>
      <sheetName val="Brazil_Sovereign12"/>
      <sheetName val="Mix_Data_Dimension_List12"/>
      <sheetName val="DATA_LIST12"/>
      <sheetName val="Price_DB12"/>
      <sheetName val="Volume_by_month12"/>
      <sheetName val="RG_Depots11"/>
      <sheetName val="DRopDown_&amp;_Past_Y1111"/>
      <sheetName val="All_Accounts11"/>
      <sheetName val="All_Cies_allocated_F1011"/>
      <sheetName val="b3_scope_erb_reworked11"/>
      <sheetName val="taux_RP211"/>
      <sheetName val="Format_BV11"/>
      <sheetName val="GW_above_BU_level11"/>
      <sheetName val="Ecarts_ch_vs_200011"/>
      <sheetName val="cr_FR11"/>
      <sheetName val="Front_page11"/>
      <sheetName val="October_200311"/>
      <sheetName val="EVA_€11"/>
      <sheetName val="Contrib_(LGALL)11"/>
      <sheetName val="exchange_rates11"/>
      <sheetName val="calendar_11"/>
      <sheetName val="CA_origine11"/>
      <sheetName val="WB_Volumes11"/>
      <sheetName val="Unit_Freight_and_Distances_US11"/>
      <sheetName val="Income_Stat_datachart11"/>
      <sheetName val="JC_Prices11"/>
      <sheetName val="Manufacturing_datachart11"/>
      <sheetName val="WB_Prices11"/>
      <sheetName val="WB_Revenues11"/>
      <sheetName val="Rest_of_P&amp;L11"/>
      <sheetName val="Cont__Wilm_11"/>
      <sheetName val="Result_€11"/>
      <sheetName val="Sales_per_Product_ALL11"/>
      <sheetName val="WB_+_JC_Production11"/>
      <sheetName val="Manufacturing_costsxx11"/>
      <sheetName val="Contribution_by_PC_211"/>
      <sheetName val="Prod_Fixed_Costs11"/>
      <sheetName val="Interim_QoE11"/>
      <sheetName val="Gross_to_Net_Sales11"/>
      <sheetName val="Net_Sales_by_PC111"/>
      <sheetName val="Net_Sales_by_PC211"/>
      <sheetName val="Var_Prod_costs_(Overview)11"/>
      <sheetName val="PB_Manufacturing_costs11"/>
      <sheetName val="MS_Manufacturing_costs11"/>
      <sheetName val="EBIT_proforma11"/>
      <sheetName val="People_Spec10"/>
      <sheetName val="MKT-_Brand_management10"/>
      <sheetName val="MKT-_Supp10"/>
      <sheetName val="Sheet1_(2)9"/>
      <sheetName val="FJJX_Bud_IB9"/>
      <sheetName val="LE_Mapping8"/>
      <sheetName val="mapping_(2)7"/>
      <sheetName val="Hoja4"/>
      <sheetName val="Données_LMU13"/>
      <sheetName val="Données_Euro13"/>
      <sheetName val="Donn?es_LMU13"/>
      <sheetName val="Donn_es_LMU13"/>
      <sheetName val="Table_of_Contents13"/>
      <sheetName val="Customer_Hierarchy_客户层次13"/>
      <sheetName val="Sales_Company_销售公司13"/>
      <sheetName val="Prd_Hierarchy_产品层次13"/>
      <sheetName val="SKU_Mapping13"/>
      <sheetName val="Brazil_Sovereign13"/>
      <sheetName val="Mix_Data_Dimension_List13"/>
      <sheetName val="DATA_LIST13"/>
      <sheetName val="Price_DB13"/>
      <sheetName val="Volume_by_month13"/>
      <sheetName val="RG_Depots12"/>
      <sheetName val="DRopDown_&amp;_Past_Y1112"/>
      <sheetName val="All_Accounts12"/>
      <sheetName val="All_Cies_allocated_F1012"/>
      <sheetName val="b3_scope_erb_reworked12"/>
      <sheetName val="taux_RP212"/>
      <sheetName val="Format_BV12"/>
      <sheetName val="GW_above_BU_level12"/>
      <sheetName val="Ecarts_ch_vs_200012"/>
      <sheetName val="cr_FR12"/>
      <sheetName val="Front_page12"/>
      <sheetName val="October_200312"/>
      <sheetName val="EVA_€12"/>
      <sheetName val="Contrib_(LGALL)12"/>
      <sheetName val="exchange_rates12"/>
      <sheetName val="calendar_12"/>
      <sheetName val="CA_origine12"/>
      <sheetName val="WB_Volumes12"/>
      <sheetName val="Unit_Freight_and_Distances_US12"/>
      <sheetName val="Income_Stat_datachart12"/>
      <sheetName val="JC_Prices12"/>
      <sheetName val="Manufacturing_datachart12"/>
      <sheetName val="WB_Prices12"/>
      <sheetName val="WB_Revenues12"/>
      <sheetName val="Rest_of_P&amp;L12"/>
      <sheetName val="Cont__Wilm_12"/>
      <sheetName val="Result_€12"/>
      <sheetName val="Sales_per_Product_ALL12"/>
      <sheetName val="WB_+_JC_Production12"/>
      <sheetName val="Manufacturing_costsxx12"/>
      <sheetName val="Contribution_by_PC_212"/>
      <sheetName val="Prod_Fixed_Costs12"/>
      <sheetName val="Interim_QoE12"/>
      <sheetName val="Gross_to_Net_Sales12"/>
      <sheetName val="Net_Sales_by_PC112"/>
      <sheetName val="Net_Sales_by_PC212"/>
      <sheetName val="Var_Prod_costs_(Overview)12"/>
      <sheetName val="PB_Manufacturing_costs12"/>
      <sheetName val="MS_Manufacturing_costs12"/>
      <sheetName val="EBIT_proforma12"/>
      <sheetName val="People_Spec11"/>
      <sheetName val="MKT-_Brand_management11"/>
      <sheetName val="MKT-_Supp11"/>
      <sheetName val="Sheet1_(2)10"/>
      <sheetName val="FJJX_Bud_IB10"/>
      <sheetName val="LE_Mapping9"/>
      <sheetName val="mapping_(2)8"/>
      <sheetName val="Produtos"/>
      <sheetName val="Données_LMU14"/>
      <sheetName val="Données_Euro14"/>
      <sheetName val="Donn?es_LMU14"/>
      <sheetName val="Donn_es_LMU14"/>
      <sheetName val="Table_of_Contents14"/>
      <sheetName val="Customer_Hierarchy_客户层次14"/>
      <sheetName val="Sales_Company_销售公司14"/>
      <sheetName val="Prd_Hierarchy_产品层次14"/>
      <sheetName val="SKU_Mapping14"/>
      <sheetName val="Brazil_Sovereign14"/>
      <sheetName val="Mix_Data_Dimension_List14"/>
      <sheetName val="DATA_LIST14"/>
      <sheetName val="Price_DB14"/>
      <sheetName val="Volume_by_month14"/>
      <sheetName val="RG_Depots13"/>
      <sheetName val="DRopDown_&amp;_Past_Y1113"/>
      <sheetName val="All_Accounts13"/>
      <sheetName val="All_Cies_allocated_F1013"/>
      <sheetName val="b3_scope_erb_reworked13"/>
      <sheetName val="taux_RP213"/>
      <sheetName val="Format_BV13"/>
      <sheetName val="GW_above_BU_level13"/>
      <sheetName val="Ecarts_ch_vs_200013"/>
      <sheetName val="cr_FR13"/>
      <sheetName val="Front_page13"/>
      <sheetName val="October_200313"/>
      <sheetName val="EVA_€13"/>
      <sheetName val="Contrib_(LGALL)13"/>
      <sheetName val="exchange_rates13"/>
      <sheetName val="calendar_13"/>
      <sheetName val="CA_origine13"/>
      <sheetName val="WB_Volumes13"/>
      <sheetName val="Unit_Freight_and_Distances_US13"/>
      <sheetName val="Income_Stat_datachart13"/>
      <sheetName val="JC_Prices13"/>
      <sheetName val="Manufacturing_datachart13"/>
      <sheetName val="WB_Prices13"/>
      <sheetName val="WB_Revenues13"/>
      <sheetName val="Rest_of_P&amp;L13"/>
      <sheetName val="Cont__Wilm_13"/>
      <sheetName val="Result_€13"/>
      <sheetName val="Sales_per_Product_ALL13"/>
      <sheetName val="WB_+_JC_Production13"/>
      <sheetName val="Manufacturing_costsxx13"/>
      <sheetName val="Contribution_by_PC_213"/>
      <sheetName val="Prod_Fixed_Costs13"/>
      <sheetName val="Interim_QoE13"/>
      <sheetName val="Gross_to_Net_Sales13"/>
      <sheetName val="Net_Sales_by_PC113"/>
      <sheetName val="Net_Sales_by_PC213"/>
      <sheetName val="Var_Prod_costs_(Overview)13"/>
      <sheetName val="PB_Manufacturing_costs13"/>
      <sheetName val="MS_Manufacturing_costs13"/>
      <sheetName val="EBIT_proforma13"/>
      <sheetName val="People_Spec12"/>
      <sheetName val="MKT-_Brand_management12"/>
      <sheetName val="MKT-_Supp12"/>
      <sheetName val="Sheet1_(2)11"/>
      <sheetName val="FJJX_Bud_IB11"/>
      <sheetName val="LE_Mapping10"/>
      <sheetName val="mapping_(2)9"/>
      <sheetName val="Données_LMU15"/>
      <sheetName val="Données_Euro15"/>
      <sheetName val="Donn?es_LMU15"/>
      <sheetName val="Donn_es_LMU15"/>
      <sheetName val="Table_of_Contents15"/>
      <sheetName val="Customer_Hierarchy_客户层次15"/>
      <sheetName val="Sales_Company_销售公司15"/>
      <sheetName val="Prd_Hierarchy_产品层次15"/>
      <sheetName val="SKU_Mapping15"/>
      <sheetName val="Brazil_Sovereign15"/>
      <sheetName val="Mix_Data_Dimension_List15"/>
      <sheetName val="DATA_LIST15"/>
      <sheetName val="Price_DB15"/>
      <sheetName val="Volume_by_month15"/>
      <sheetName val="RG_Depots14"/>
      <sheetName val="DRopDown_&amp;_Past_Y1114"/>
      <sheetName val="All_Accounts14"/>
      <sheetName val="All_Cies_allocated_F1014"/>
      <sheetName val="b3_scope_erb_reworked14"/>
      <sheetName val="taux_RP214"/>
      <sheetName val="Format_BV14"/>
      <sheetName val="GW_above_BU_level14"/>
      <sheetName val="Ecarts_ch_vs_200014"/>
      <sheetName val="cr_FR14"/>
      <sheetName val="Front_page14"/>
      <sheetName val="October_200314"/>
      <sheetName val="EVA_€14"/>
      <sheetName val="Contrib_(LGALL)14"/>
      <sheetName val="exchange_rates14"/>
      <sheetName val="calendar_14"/>
      <sheetName val="CA_origine14"/>
      <sheetName val="WB_Volumes14"/>
      <sheetName val="Unit_Freight_and_Distances_US14"/>
      <sheetName val="Income_Stat_datachart14"/>
      <sheetName val="JC_Prices14"/>
      <sheetName val="Manufacturing_datachart14"/>
      <sheetName val="WB_Prices14"/>
      <sheetName val="WB_Revenues14"/>
      <sheetName val="Rest_of_P&amp;L14"/>
      <sheetName val="Cont__Wilm_14"/>
      <sheetName val="Result_€14"/>
      <sheetName val="Sales_per_Product_ALL14"/>
      <sheetName val="WB_+_JC_Production14"/>
      <sheetName val="Manufacturing_costsxx14"/>
      <sheetName val="Contribution_by_PC_214"/>
      <sheetName val="Prod_Fixed_Costs14"/>
      <sheetName val="Interim_QoE14"/>
      <sheetName val="Gross_to_Net_Sales14"/>
      <sheetName val="Net_Sales_by_PC114"/>
      <sheetName val="Net_Sales_by_PC214"/>
      <sheetName val="Var_Prod_costs_(Overview)14"/>
      <sheetName val="PB_Manufacturing_costs14"/>
      <sheetName val="MS_Manufacturing_costs14"/>
      <sheetName val="EBIT_proforma14"/>
      <sheetName val="People_Spec13"/>
      <sheetName val="MKT-_Brand_management13"/>
      <sheetName val="MKT-_Supp13"/>
      <sheetName val="Sheet1_(2)12"/>
      <sheetName val="FJJX_Bud_IB12"/>
      <sheetName val="LE_Mapping11"/>
      <sheetName val="mapping_(2)10"/>
      <sheetName val="Tables"/>
      <sheetName val="Indici per cliente_media 3 anni"/>
      <sheetName val="Feuil1"/>
      <sheetName val="Define"/>
      <sheetName val="Volume"/>
      <sheetName val="dBase"/>
      <sheetName val="Indici_per_cliente_media_3_anni"/>
      <sheetName val="Parametr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 refreshError="1"/>
      <sheetData sheetId="310" refreshError="1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 refreshError="1"/>
      <sheetData sheetId="436" refreshError="1"/>
      <sheetData sheetId="437" refreshError="1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 refreshError="1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 refreshError="1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/>
      <sheetData sheetId="106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ver"/>
      <sheetName val="Fin Perf "/>
      <sheetName val="SO Credit level 7 5 yr "/>
      <sheetName val="SO Credit level 7 10yr"/>
      <sheetName val="SO Credit level 7 20yr "/>
      <sheetName val="SO Credit level 8 5 yr"/>
      <sheetName val="SO Credit level 8 10yr"/>
      <sheetName val="SO Credit level 8 20yr"/>
      <sheetName val="Total Company ratio"/>
      <sheetName val="Total Company Income"/>
      <sheetName val="Total Comapny BS CF"/>
      <sheetName val="Total Comapny coverage ratio "/>
      <sheetName val="SO Credit level 4"/>
      <sheetName val="SO Credit level 5"/>
      <sheetName val="FINANCIALS"/>
      <sheetName val="Discounted Cash Flow Model"/>
      <sheetName val="Main"/>
      <sheetName val="CSH"/>
      <sheetName val="Advances"/>
      <sheetName val="O-1 (277)"/>
      <sheetName val="O-1 (521)"/>
      <sheetName val="O-1 (626) "/>
      <sheetName val="BEV"/>
      <sheetName val="List"/>
      <sheetName val="entity"/>
      <sheetName val="Sheet1"/>
      <sheetName val="Fin_Perf_"/>
      <sheetName val="Multiples"/>
      <sheetName val="Regional Simple Averages"/>
      <sheetName val="ERPs by country"/>
      <sheetName val="Lists"/>
      <sheetName val="Picklist"/>
      <sheetName val="CFL"/>
      <sheetName val="Legend"/>
      <sheetName val="List of TPEs"/>
      <sheetName val="Lookups"/>
      <sheetName val="EX I"/>
      <sheetName val="4A Unit Costs"/>
      <sheetName val="iAssumptions"/>
      <sheetName val="Dropdown list"/>
      <sheetName val=""/>
      <sheetName val="A"/>
      <sheetName val="Expense Categories"/>
      <sheetName val="IRR"/>
      <sheetName val="Iowa Source Data"/>
      <sheetName val="SO_Credit_level_7_5_yr_"/>
      <sheetName val="SO_Credit_level_7_10yr"/>
      <sheetName val="SO_Credit_level_7_20yr_"/>
      <sheetName val="SO_Credit_level_8_5_yr"/>
      <sheetName val="SO_Credit_level_8_10yr"/>
      <sheetName val="SO_Credit_level_8_20yr"/>
      <sheetName val="Total_Company_ratio"/>
      <sheetName val="Total_Company_Income"/>
      <sheetName val="Total_Comapny_BS_CF"/>
      <sheetName val="Total_Comapny_coverage_ratio_"/>
      <sheetName val="SO_Credit_level_4"/>
      <sheetName val="SO_Credit_level_5"/>
      <sheetName val="Discounted_Cash_Flow_Model"/>
      <sheetName val="O-1_(277)"/>
      <sheetName val="O-1_(521)"/>
      <sheetName val="O-1_(626)_"/>
      <sheetName val="Case 1B - 1"/>
      <sheetName val="SWE Credit Rating Graph 6_28_00"/>
      <sheetName val="Data Beta"/>
      <sheetName val="Fin_Perf_1"/>
      <sheetName val="SO_Credit_level_7_5_yr_1"/>
      <sheetName val="SO_Credit_level_7_10yr1"/>
      <sheetName val="SO_Credit_level_7_20yr_1"/>
      <sheetName val="SO_Credit_level_8_5_yr1"/>
      <sheetName val="SO_Credit_level_8_10yr1"/>
      <sheetName val="SO_Credit_level_8_20yr1"/>
      <sheetName val="Total_Company_ratio1"/>
      <sheetName val="Total_Company_Income1"/>
      <sheetName val="Total_Comapny_BS_CF1"/>
      <sheetName val="Total_Comapny_coverage_ratio_1"/>
      <sheetName val="SO_Credit_level_41"/>
      <sheetName val="SO_Credit_level_51"/>
      <sheetName val="Discounted_Cash_Flow_Model1"/>
      <sheetName val="O-1_(277)1"/>
      <sheetName val="O-1_(521)1"/>
      <sheetName val="O-1_(626)_1"/>
      <sheetName val="Regional_Simple_Averages"/>
      <sheetName val="ERPs_by_country"/>
      <sheetName val="List_of_TPEs"/>
      <sheetName val="VendorList"/>
      <sheetName val="soc1"/>
      <sheetName val="FAS 5 "/>
      <sheetName val="Planned 2005 Spend Analysis-All"/>
      <sheetName val="EnergyPricing"/>
      <sheetName val="Depreciation"/>
      <sheetName val="LE List"/>
      <sheetName val="Support"/>
      <sheetName val="FX"/>
      <sheetName val="state"/>
      <sheetName val="Fin_Perf_2"/>
      <sheetName val="SO_Credit_level_7_5_yr_2"/>
      <sheetName val="SO_Credit_level_7_10yr2"/>
      <sheetName val="SO_Credit_level_7_20yr_2"/>
      <sheetName val="SO_Credit_level_8_5_yr2"/>
      <sheetName val="SO_Credit_level_8_10yr2"/>
      <sheetName val="SO_Credit_level_8_20yr2"/>
      <sheetName val="Total_Company_ratio2"/>
      <sheetName val="Total_Company_Income2"/>
      <sheetName val="Total_Comapny_BS_CF2"/>
      <sheetName val="Total_Comapny_coverage_ratio_2"/>
      <sheetName val="SO_Credit_level_42"/>
      <sheetName val="SO_Credit_level_52"/>
      <sheetName val="Discounted_Cash_Flow_Model2"/>
      <sheetName val="O-1_(277)2"/>
      <sheetName val="O-1_(521)2"/>
      <sheetName val="O-1_(626)_2"/>
      <sheetName val="Regional_Simple_Averages1"/>
      <sheetName val="ERPs_by_country1"/>
      <sheetName val="List_of_TPEs1"/>
      <sheetName val="EX_I"/>
      <sheetName val="4A_Unit_Costs"/>
      <sheetName val="Dropdown_list"/>
      <sheetName val="Expense_Categories"/>
      <sheetName val="Iowa_Source_Data"/>
      <sheetName val="Case_1B_-_1"/>
      <sheetName val="SWE_Credit_Rating_Graph_6_28_00"/>
      <sheetName val="Data_Beta"/>
      <sheetName val="FAS_5_"/>
      <sheetName val="Planned_2005_Spend_Analysis-All"/>
      <sheetName val="LE_List"/>
      <sheetName val="Fin_Perf_3"/>
      <sheetName val="SO_Credit_level_7_5_yr_3"/>
      <sheetName val="SO_Credit_level_7_10yr3"/>
      <sheetName val="SO_Credit_level_7_20yr_3"/>
      <sheetName val="SO_Credit_level_8_5_yr3"/>
      <sheetName val="SO_Credit_level_8_10yr3"/>
      <sheetName val="SO_Credit_level_8_20yr3"/>
      <sheetName val="Total_Company_ratio3"/>
      <sheetName val="Total_Company_Income3"/>
      <sheetName val="Total_Comapny_BS_CF3"/>
      <sheetName val="Total_Comapny_coverage_ratio_3"/>
      <sheetName val="SO_Credit_level_43"/>
      <sheetName val="SO_Credit_level_53"/>
      <sheetName val="Discounted_Cash_Flow_Model3"/>
      <sheetName val="O-1_(277)3"/>
      <sheetName val="O-1_(521)3"/>
      <sheetName val="O-1_(626)_3"/>
      <sheetName val="Regional_Simple_Averages2"/>
      <sheetName val="ERPs_by_country2"/>
      <sheetName val="List_of_TPEs2"/>
      <sheetName val="EX_I1"/>
      <sheetName val="4A_Unit_Costs1"/>
      <sheetName val="Dropdown_list1"/>
      <sheetName val="Expense_Categories1"/>
      <sheetName val="Iowa_Source_Data1"/>
      <sheetName val="Case_1B_-_11"/>
      <sheetName val="SWE_Credit_Rating_Graph_6_28_01"/>
      <sheetName val="Data_Beta1"/>
      <sheetName val="FAS_5_1"/>
      <sheetName val="Planned_2005_Spend_Analysis-Al1"/>
      <sheetName val="LE_List1"/>
      <sheetName val="Dimensions"/>
      <sheetName val="Hyperion TB"/>
      <sheetName val="Summary"/>
      <sheetName val="(BVI) IS"/>
      <sheetName val="1999 BUDGE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  <sheetName val="GoEight"/>
      <sheetName val="6 - Data Validation"/>
      <sheetName val="Moscow 0605"/>
      <sheetName val="Madrid 0605"/>
      <sheetName val="Stock 0605"/>
      <sheetName val="Frankfurt 0605"/>
      <sheetName val="Paris 0605"/>
      <sheetName val="London0605"/>
      <sheetName val="Milan0605"/>
      <sheetName val="CF_Total"/>
      <sheetName val="Stock"/>
      <sheetName val="T_ANAG_PDC_IT"/>
      <sheetName val="T_HYP_SOC"/>
      <sheetName val="X_PROD_OUT_RIEP"/>
      <sheetName val="Sheet2"/>
      <sheetName val="Sum_2004"/>
      <sheetName val="Results from Nov 98"/>
      <sheetName val="Co. 670 HK"/>
      <sheetName val="Inputs &gt;&gt;"/>
      <sheetName val="D) Trial Balance"/>
      <sheetName val="Administration"/>
      <sheetName val="INDEX"/>
      <sheetName val="Index sheet"/>
      <sheetName val="Nature &amp; Type Lists"/>
      <sheetName val="E1 Debtors ATB"/>
      <sheetName val="Forecast"/>
      <sheetName val="Key"/>
      <sheetName val="ADDT DEPR"/>
      <sheetName val="Closing Statement"/>
      <sheetName val="1.6 TRS Data"/>
      <sheetName val="CPD"/>
      <sheetName val="Peer's Charged Offs"/>
      <sheetName val="CF_wk"/>
      <sheetName val="Net Working Capital"/>
      <sheetName val="AR "/>
      <sheetName val="Instructions"/>
      <sheetName val="Submission CW"/>
      <sheetName val="OTR Walk"/>
      <sheetName val="OP Walk"/>
      <sheetName val="HQ Pivot"/>
      <sheetName val="HQ Pacing"/>
      <sheetName val="MYA S=O &amp; CO"/>
      <sheetName val="1995 Cellular"/>
      <sheetName val="Data Validation"/>
      <sheetName val="875 ACC"/>
      <sheetName val="Actions"/>
      <sheetName val="Contents"/>
      <sheetName val="model"/>
      <sheetName val="Performance Cases"/>
      <sheetName val="Invoices"/>
      <sheetName val="Moscow_0605"/>
      <sheetName val="Madrid_0605"/>
      <sheetName val="Stock_0605"/>
      <sheetName val="Frankfurt_0605"/>
      <sheetName val="Paris_0605"/>
      <sheetName val="Hyperion_TB"/>
      <sheetName val="(BVI)_IS"/>
      <sheetName val="6_-_Data_Validation"/>
      <sheetName val="1999_BUDGET"/>
      <sheetName val="ADDT_DEPR"/>
      <sheetName val="Results_from_Nov_98"/>
      <sheetName val="Co__670_HK"/>
      <sheetName val="AR_"/>
      <sheetName val="Performance_Cases"/>
      <sheetName val="Inputs_&gt;&gt;"/>
      <sheetName val="D)_Trial_Balance"/>
      <sheetName val="SWE%20Credit%20Rating%20Graph%2"/>
      <sheetName val="Dropdowns"/>
      <sheetName val="Asset Strategy"/>
      <sheetName val="Fin_Perf_5"/>
      <sheetName val="SO_Credit_level_7_5_yr_4"/>
      <sheetName val="SO_Credit_level_7_10yr4"/>
      <sheetName val="SO_Credit_level_7_20yr_4"/>
      <sheetName val="SO_Credit_level_8_5_yr4"/>
      <sheetName val="SO_Credit_level_8_10yr4"/>
      <sheetName val="SO_Credit_level_8_20yr4"/>
      <sheetName val="Total_Company_ratio4"/>
      <sheetName val="Total_Company_Income4"/>
      <sheetName val="Total_Comapny_BS_CF4"/>
      <sheetName val="Total_Comapny_coverage_ratio_4"/>
      <sheetName val="SO_Credit_level_44"/>
      <sheetName val="SO_Credit_level_54"/>
      <sheetName val="Discounted_Cash_Flow_Model4"/>
      <sheetName val="O-1_(277)4"/>
      <sheetName val="O-1_(521)4"/>
      <sheetName val="O-1_(626)_4"/>
      <sheetName val="Regional_Simple_Averages4"/>
      <sheetName val="ERPs_by_country4"/>
      <sheetName val="List_of_TPEs3"/>
      <sheetName val="EX_I2"/>
      <sheetName val="4A_Unit_Costs2"/>
      <sheetName val="Expense_Categories2"/>
      <sheetName val="Dropdown_list2"/>
      <sheetName val="Iowa_Source_Data2"/>
      <sheetName val="Case_1B_-_12"/>
      <sheetName val="Data_Beta2"/>
      <sheetName val="SWE_Credit_Rating_Graph_6_28_02"/>
      <sheetName val="FAS_5_2"/>
      <sheetName val="Planned_2005_Spend_Analysis-Al2"/>
      <sheetName val="LE_List2"/>
      <sheetName val="Fin_Perf_4"/>
      <sheetName val="Regional_Simple_Averages3"/>
      <sheetName val="ERPs_by_country3"/>
      <sheetName val="Fin_Perf_6"/>
      <sheetName val="SO_Credit_level_7_5_yr_5"/>
      <sheetName val="SO_Credit_level_7_10yr5"/>
      <sheetName val="SO_Credit_level_7_20yr_5"/>
      <sheetName val="SO_Credit_level_8_5_yr5"/>
      <sheetName val="SO_Credit_level_8_10yr5"/>
      <sheetName val="SO_Credit_level_8_20yr5"/>
      <sheetName val="Total_Company_ratio5"/>
      <sheetName val="Total_Company_Income5"/>
      <sheetName val="Total_Comapny_BS_CF5"/>
      <sheetName val="Total_Comapny_coverage_ratio_5"/>
      <sheetName val="SO_Credit_level_45"/>
      <sheetName val="SO_Credit_level_55"/>
      <sheetName val="Discounted_Cash_Flow_Model5"/>
      <sheetName val="O-1_(277)5"/>
      <sheetName val="O-1_(521)5"/>
      <sheetName val="O-1_(626)_5"/>
      <sheetName val="Regional_Simple_Averages5"/>
      <sheetName val="ERPs_by_country5"/>
      <sheetName val="List_of_TPEs4"/>
      <sheetName val="EX_I3"/>
      <sheetName val="4A_Unit_Costs3"/>
      <sheetName val="Expense_Categories3"/>
      <sheetName val="Dropdown_list3"/>
      <sheetName val="Iowa_Source_Data3"/>
      <sheetName val="Case_1B_-_13"/>
      <sheetName val="Data_Beta3"/>
      <sheetName val="SWE_Credit_Rating_Graph_6_28_03"/>
      <sheetName val="FAS_5_3"/>
      <sheetName val="Planned_2005_Spend_Analysis-Al3"/>
      <sheetName val="LE_List3"/>
      <sheetName val="Fin_Perf_7"/>
      <sheetName val="SO_Credit_level_7_5_yr_6"/>
      <sheetName val="SO_Credit_level_7_10yr6"/>
      <sheetName val="SO_Credit_level_7_20yr_6"/>
      <sheetName val="SO_Credit_level_8_5_yr6"/>
      <sheetName val="SO_Credit_level_8_10yr6"/>
      <sheetName val="SO_Credit_level_8_20yr6"/>
      <sheetName val="Total_Company_ratio6"/>
      <sheetName val="Total_Company_Income6"/>
      <sheetName val="Total_Comapny_BS_CF6"/>
      <sheetName val="Total_Comapny_coverage_ratio_6"/>
      <sheetName val="SO_Credit_level_46"/>
      <sheetName val="SO_Credit_level_56"/>
      <sheetName val="Discounted_Cash_Flow_Model6"/>
      <sheetName val="O-1_(277)6"/>
      <sheetName val="O-1_(521)6"/>
      <sheetName val="O-1_(626)_6"/>
      <sheetName val="Regional_Simple_Averages6"/>
      <sheetName val="ERPs_by_country6"/>
      <sheetName val="List_of_TPEs5"/>
      <sheetName val="EX_I4"/>
      <sheetName val="4A_Unit_Costs4"/>
      <sheetName val="Expense_Categories4"/>
      <sheetName val="Dropdown_list4"/>
      <sheetName val="Iowa_Source_Data4"/>
      <sheetName val="Case_1B_-_14"/>
      <sheetName val="Data_Beta4"/>
      <sheetName val="SWE_Credit_Rating_Graph_6_28_04"/>
      <sheetName val="FAS_5_4"/>
      <sheetName val="Planned_2005_Spend_Analysis-Al4"/>
      <sheetName val="LE_List4"/>
      <sheetName val="Fin_Perf_8"/>
      <sheetName val="SO_Credit_level_7_5_yr_7"/>
      <sheetName val="SO_Credit_level_7_10yr7"/>
      <sheetName val="SO_Credit_level_7_20yr_7"/>
      <sheetName val="SO_Credit_level_8_5_yr7"/>
      <sheetName val="SO_Credit_level_8_10yr7"/>
      <sheetName val="SO_Credit_level_8_20yr7"/>
      <sheetName val="Total_Company_ratio7"/>
      <sheetName val="Total_Company_Income7"/>
      <sheetName val="Total_Comapny_BS_CF7"/>
      <sheetName val="Total_Comapny_coverage_ratio_7"/>
      <sheetName val="SO_Credit_level_47"/>
      <sheetName val="SO_Credit_level_57"/>
      <sheetName val="Discounted_Cash_Flow_Model7"/>
      <sheetName val="O-1_(277)7"/>
      <sheetName val="O-1_(521)7"/>
      <sheetName val="O-1_(626)_7"/>
      <sheetName val="Regional_Simple_Averages7"/>
      <sheetName val="ERPs_by_country7"/>
      <sheetName val="List_of_TPEs6"/>
      <sheetName val="EX_I5"/>
      <sheetName val="4A_Unit_Costs5"/>
      <sheetName val="Expense_Categories5"/>
      <sheetName val="Dropdown_list5"/>
      <sheetName val="Iowa_Source_Data5"/>
      <sheetName val="Case_1B_-_15"/>
      <sheetName val="Data_Beta5"/>
      <sheetName val="SWE_Credit_Rating_Graph_6_28_05"/>
      <sheetName val="FAS_5_5"/>
      <sheetName val="Planned_2005_Spend_Analysis-Al5"/>
      <sheetName val="LE_List5"/>
      <sheetName val="Fin_Perf_9"/>
      <sheetName val="SO_Credit_level_7_5_yr_8"/>
      <sheetName val="SO_Credit_level_7_10yr8"/>
      <sheetName val="SO_Credit_level_7_20yr_8"/>
      <sheetName val="SO_Credit_level_8_5_yr8"/>
      <sheetName val="SO_Credit_level_8_10yr8"/>
      <sheetName val="SO_Credit_level_8_20yr8"/>
      <sheetName val="Total_Company_ratio8"/>
      <sheetName val="Total_Company_Income8"/>
      <sheetName val="Total_Comapny_BS_CF8"/>
      <sheetName val="Total_Comapny_coverage_ratio_8"/>
      <sheetName val="SO_Credit_level_48"/>
      <sheetName val="SO_Credit_level_58"/>
      <sheetName val="Discounted_Cash_Flow_Model8"/>
      <sheetName val="O-1_(277)8"/>
      <sheetName val="O-1_(521)8"/>
      <sheetName val="O-1_(626)_8"/>
      <sheetName val="Regional_Simple_Averages8"/>
      <sheetName val="ERPs_by_country8"/>
      <sheetName val="List_of_TPEs7"/>
      <sheetName val="EX_I6"/>
      <sheetName val="4A_Unit_Costs6"/>
      <sheetName val="Expense_Categories6"/>
      <sheetName val="Dropdown_list6"/>
      <sheetName val="Iowa_Source_Data6"/>
      <sheetName val="Case_1B_-_16"/>
      <sheetName val="Data_Beta6"/>
      <sheetName val="SWE_Credit_Rating_Graph_6_28_06"/>
      <sheetName val="FAS_5_6"/>
      <sheetName val="Planned_2005_Spend_Analysis-Al6"/>
      <sheetName val="LE_List6"/>
      <sheetName val="Fin_Perf_10"/>
      <sheetName val="SO_Credit_level_7_5_yr_9"/>
      <sheetName val="SO_Credit_level_7_10yr9"/>
      <sheetName val="SO_Credit_level_7_20yr_9"/>
      <sheetName val="SO_Credit_level_8_5_yr9"/>
      <sheetName val="SO_Credit_level_8_10yr9"/>
      <sheetName val="SO_Credit_level_8_20yr9"/>
      <sheetName val="Total_Company_ratio9"/>
      <sheetName val="Total_Company_Income9"/>
      <sheetName val="Total_Comapny_BS_CF9"/>
      <sheetName val="Total_Comapny_coverage_ratio_9"/>
      <sheetName val="SO_Credit_level_49"/>
      <sheetName val="SO_Credit_level_59"/>
      <sheetName val="Discounted_Cash_Flow_Model9"/>
      <sheetName val="O-1_(277)9"/>
      <sheetName val="O-1_(521)9"/>
      <sheetName val="O-1_(626)_9"/>
      <sheetName val="Regional_Simple_Averages9"/>
      <sheetName val="ERPs_by_country9"/>
      <sheetName val="List_of_TPEs8"/>
      <sheetName val="EX_I7"/>
      <sheetName val="4A_Unit_Costs7"/>
      <sheetName val="Expense_Categories7"/>
      <sheetName val="Dropdown_list7"/>
      <sheetName val="Iowa_Source_Data7"/>
      <sheetName val="Case_1B_-_17"/>
      <sheetName val="Data_Beta7"/>
      <sheetName val="SWE_Credit_Rating_Graph_6_28_07"/>
      <sheetName val="FAS_5_7"/>
      <sheetName val="Planned_2005_Spend_Analysis-Al7"/>
      <sheetName val="LE_List7"/>
      <sheetName val="Fin_Perf_12"/>
      <sheetName val="SO_Credit_level_7_5_yr_11"/>
      <sheetName val="SO_Credit_level_7_10yr11"/>
      <sheetName val="SO_Credit_level_7_20yr_11"/>
      <sheetName val="SO_Credit_level_8_5_yr11"/>
      <sheetName val="SO_Credit_level_8_10yr11"/>
      <sheetName val="SO_Credit_level_8_20yr11"/>
      <sheetName val="Total_Company_ratio11"/>
      <sheetName val="Total_Company_Income11"/>
      <sheetName val="Total_Comapny_BS_CF11"/>
      <sheetName val="Total_Comapny_coverage_ratio_11"/>
      <sheetName val="SO_Credit_level_411"/>
      <sheetName val="SO_Credit_level_511"/>
      <sheetName val="Discounted_Cash_Flow_Model11"/>
      <sheetName val="O-1_(277)11"/>
      <sheetName val="O-1_(521)11"/>
      <sheetName val="O-1_(626)_11"/>
      <sheetName val="Regional_Simple_Averages11"/>
      <sheetName val="ERPs_by_country11"/>
      <sheetName val="List_of_TPEs10"/>
      <sheetName val="EX_I9"/>
      <sheetName val="4A_Unit_Costs9"/>
      <sheetName val="Expense_Categories9"/>
      <sheetName val="Dropdown_list9"/>
      <sheetName val="Iowa_Source_Data9"/>
      <sheetName val="Case_1B_-_19"/>
      <sheetName val="Data_Beta9"/>
      <sheetName val="SWE_Credit_Rating_Graph_6_28_09"/>
      <sheetName val="FAS_5_9"/>
      <sheetName val="Planned_2005_Spend_Analysis-Al9"/>
      <sheetName val="LE_List9"/>
      <sheetName val="Fin_Perf_11"/>
      <sheetName val="SO_Credit_level_7_5_yr_10"/>
      <sheetName val="SO_Credit_level_7_10yr10"/>
      <sheetName val="SO_Credit_level_7_20yr_10"/>
      <sheetName val="SO_Credit_level_8_5_yr10"/>
      <sheetName val="SO_Credit_level_8_10yr10"/>
      <sheetName val="SO_Credit_level_8_20yr10"/>
      <sheetName val="Total_Company_ratio10"/>
      <sheetName val="Total_Company_Income10"/>
      <sheetName val="Total_Comapny_BS_CF10"/>
      <sheetName val="Total_Comapny_coverage_ratio_10"/>
      <sheetName val="SO_Credit_level_410"/>
      <sheetName val="SO_Credit_level_510"/>
      <sheetName val="Discounted_Cash_Flow_Model10"/>
      <sheetName val="O-1_(277)10"/>
      <sheetName val="O-1_(521)10"/>
      <sheetName val="O-1_(626)_10"/>
      <sheetName val="Regional_Simple_Averages10"/>
      <sheetName val="ERPs_by_country10"/>
      <sheetName val="List_of_TPEs9"/>
      <sheetName val="EX_I8"/>
      <sheetName val="4A_Unit_Costs8"/>
      <sheetName val="Expense_Categories8"/>
      <sheetName val="Dropdown_list8"/>
      <sheetName val="Iowa_Source_Data8"/>
      <sheetName val="Case_1B_-_18"/>
      <sheetName val="Data_Beta8"/>
      <sheetName val="SWE_Credit_Rating_Graph_6_28_08"/>
      <sheetName val="FAS_5_8"/>
      <sheetName val="Planned_2005_Spend_Analysis-Al8"/>
      <sheetName val="LE_List8"/>
      <sheetName val="Fin_Perf_13"/>
      <sheetName val="SO_Credit_level_7_5_yr_12"/>
      <sheetName val="SO_Credit_level_7_10yr12"/>
      <sheetName val="SO_Credit_level_7_20yr_12"/>
      <sheetName val="SO_Credit_level_8_5_yr12"/>
      <sheetName val="SO_Credit_level_8_10yr12"/>
      <sheetName val="SO_Credit_level_8_20yr12"/>
      <sheetName val="Total_Company_ratio12"/>
      <sheetName val="Total_Company_Income12"/>
      <sheetName val="Total_Comapny_BS_CF12"/>
      <sheetName val="Total_Comapny_coverage_ratio_12"/>
      <sheetName val="SO_Credit_level_412"/>
      <sheetName val="SO_Credit_level_512"/>
      <sheetName val="Discounted_Cash_Flow_Model12"/>
      <sheetName val="O-1_(277)12"/>
      <sheetName val="O-1_(521)12"/>
      <sheetName val="O-1_(626)_12"/>
      <sheetName val="Regional_Simple_Averages12"/>
      <sheetName val="ERPs_by_country12"/>
      <sheetName val="List_of_TPEs11"/>
      <sheetName val="EX_I10"/>
      <sheetName val="4A_Unit_Costs10"/>
      <sheetName val="Expense_Categories10"/>
      <sheetName val="Dropdown_list10"/>
      <sheetName val="Iowa_Source_Data10"/>
      <sheetName val="Case_1B_-_110"/>
      <sheetName val="Data_Beta10"/>
      <sheetName val="SWE_Credit_Rating_Graph_6_28_10"/>
      <sheetName val="FAS_5_10"/>
      <sheetName val="Planned_2005_Spend_Analysis-A10"/>
      <sheetName val="LE_List10"/>
      <sheetName val="Fin_Perf_14"/>
      <sheetName val="SO_Credit_level_7_5_yr_13"/>
      <sheetName val="SO_Credit_level_7_10yr13"/>
      <sheetName val="SO_Credit_level_7_20yr_13"/>
      <sheetName val="SO_Credit_level_8_5_yr13"/>
      <sheetName val="SO_Credit_level_8_10yr13"/>
      <sheetName val="SO_Credit_level_8_20yr13"/>
      <sheetName val="Total_Company_ratio13"/>
      <sheetName val="Total_Company_Income13"/>
      <sheetName val="Total_Comapny_BS_CF13"/>
      <sheetName val="Total_Comapny_coverage_ratio_13"/>
      <sheetName val="SO_Credit_level_413"/>
      <sheetName val="SO_Credit_level_513"/>
      <sheetName val="Discounted_Cash_Flow_Model13"/>
      <sheetName val="O-1_(277)13"/>
      <sheetName val="O-1_(521)13"/>
      <sheetName val="O-1_(626)_13"/>
      <sheetName val="Regional_Simple_Averages13"/>
      <sheetName val="ERPs_by_country13"/>
      <sheetName val="List_of_TPEs12"/>
      <sheetName val="EX_I11"/>
      <sheetName val="4A_Unit_Costs11"/>
      <sheetName val="Expense_Categories11"/>
      <sheetName val="Dropdown_list11"/>
      <sheetName val="Iowa_Source_Data11"/>
      <sheetName val="Case_1B_-_111"/>
      <sheetName val="Data_Beta11"/>
      <sheetName val="SWE_Credit_Rating_Graph_6_28_11"/>
      <sheetName val="FAS_5_11"/>
      <sheetName val="Planned_2005_Spend_Analysis-A11"/>
      <sheetName val="LE_List11"/>
      <sheetName val="Fin_Perf_15"/>
      <sheetName val="SO_Credit_level_7_5_yr_14"/>
      <sheetName val="SO_Credit_level_7_10yr14"/>
      <sheetName val="SO_Credit_level_7_20yr_14"/>
      <sheetName val="SO_Credit_level_8_5_yr14"/>
      <sheetName val="SO_Credit_level_8_10yr14"/>
      <sheetName val="SO_Credit_level_8_20yr14"/>
      <sheetName val="Total_Company_ratio14"/>
      <sheetName val="Total_Company_Income14"/>
      <sheetName val="Total_Comapny_BS_CF14"/>
      <sheetName val="Total_Comapny_coverage_ratio_14"/>
      <sheetName val="SO_Credit_level_414"/>
      <sheetName val="SO_Credit_level_514"/>
      <sheetName val="Discounted_Cash_Flow_Model14"/>
      <sheetName val="O-1_(277)14"/>
      <sheetName val="O-1_(521)14"/>
      <sheetName val="O-1_(626)_14"/>
      <sheetName val="Regional_Simple_Averages14"/>
      <sheetName val="ERPs_by_country14"/>
      <sheetName val="List_of_TPEs13"/>
      <sheetName val="EX_I12"/>
      <sheetName val="4A_Unit_Costs12"/>
      <sheetName val="Expense_Categories12"/>
      <sheetName val="Dropdown_list12"/>
      <sheetName val="Iowa_Source_Data12"/>
      <sheetName val="Case_1B_-_112"/>
      <sheetName val="Data_Beta12"/>
      <sheetName val="SWE_Credit_Rating_Graph_6_28_12"/>
      <sheetName val="FAS_5_12"/>
      <sheetName val="Planned_2005_Spend_Analysis-A12"/>
      <sheetName val="LE_List12"/>
      <sheetName val="Fin_Perf_17"/>
      <sheetName val="SO_Credit_level_7_5_yr_16"/>
      <sheetName val="SO_Credit_level_7_10yr16"/>
      <sheetName val="SO_Credit_level_7_20yr_16"/>
      <sheetName val="SO_Credit_level_8_5_yr16"/>
      <sheetName val="SO_Credit_level_8_10yr16"/>
      <sheetName val="SO_Credit_level_8_20yr16"/>
      <sheetName val="Total_Company_ratio16"/>
      <sheetName val="Total_Company_Income16"/>
      <sheetName val="Total_Comapny_BS_CF16"/>
      <sheetName val="Total_Comapny_coverage_ratio_16"/>
      <sheetName val="SO_Credit_level_416"/>
      <sheetName val="SO_Credit_level_516"/>
      <sheetName val="Discounted_Cash_Flow_Model16"/>
      <sheetName val="O-1_(277)16"/>
      <sheetName val="O-1_(521)16"/>
      <sheetName val="O-1_(626)_16"/>
      <sheetName val="Regional_Simple_Averages16"/>
      <sheetName val="ERPs_by_country16"/>
      <sheetName val="List_of_TPEs15"/>
      <sheetName val="EX_I14"/>
      <sheetName val="4A_Unit_Costs14"/>
      <sheetName val="Expense_Categories14"/>
      <sheetName val="Dropdown_list14"/>
      <sheetName val="Iowa_Source_Data14"/>
      <sheetName val="Case_1B_-_114"/>
      <sheetName val="Data_Beta14"/>
      <sheetName val="SWE_Credit_Rating_Graph_6_28_14"/>
      <sheetName val="FAS_5_14"/>
      <sheetName val="Planned_2005_Spend_Analysis-A14"/>
      <sheetName val="LE_List14"/>
      <sheetName val="Hyperion_TB1"/>
      <sheetName val="6_-_Data_Validation1"/>
      <sheetName val="1999_BUDGET1"/>
      <sheetName val="(BVI)_IS1"/>
      <sheetName val="Moscow_06051"/>
      <sheetName val="Madrid_06051"/>
      <sheetName val="Stock_06051"/>
      <sheetName val="Frankfurt_06051"/>
      <sheetName val="Paris_06051"/>
      <sheetName val="Results_from_Nov_981"/>
      <sheetName val="Co__670_HK1"/>
      <sheetName val="Fin_Perf_16"/>
      <sheetName val="SO_Credit_level_7_5_yr_15"/>
      <sheetName val="SO_Credit_level_7_10yr15"/>
      <sheetName val="SO_Credit_level_7_20yr_15"/>
      <sheetName val="SO_Credit_level_8_5_yr15"/>
      <sheetName val="SO_Credit_level_8_10yr15"/>
      <sheetName val="SO_Credit_level_8_20yr15"/>
      <sheetName val="Total_Company_ratio15"/>
      <sheetName val="Total_Company_Income15"/>
      <sheetName val="Total_Comapny_BS_CF15"/>
      <sheetName val="Total_Comapny_coverage_ratio_15"/>
      <sheetName val="SO_Credit_level_415"/>
      <sheetName val="SO_Credit_level_515"/>
      <sheetName val="Discounted_Cash_Flow_Model15"/>
      <sheetName val="O-1_(277)15"/>
      <sheetName val="O-1_(521)15"/>
      <sheetName val="O-1_(626)_15"/>
      <sheetName val="Regional_Simple_Averages15"/>
      <sheetName val="ERPs_by_country15"/>
      <sheetName val="List_of_TPEs14"/>
      <sheetName val="EX_I13"/>
      <sheetName val="4A_Unit_Costs13"/>
      <sheetName val="Expense_Categories13"/>
      <sheetName val="Dropdown_list13"/>
      <sheetName val="Iowa_Source_Data13"/>
      <sheetName val="Case_1B_-_113"/>
      <sheetName val="Data_Beta13"/>
      <sheetName val="SWE_Credit_Rating_Graph_6_28_13"/>
      <sheetName val="FAS_5_13"/>
      <sheetName val="Planned_2005_Spend_Analysis-A13"/>
      <sheetName val="LE_List13"/>
      <sheetName val="Fin_Perf_18"/>
      <sheetName val="SO_Credit_level_7_5_yr_17"/>
      <sheetName val="SO_Credit_level_7_10yr17"/>
      <sheetName val="SO_Credit_level_7_20yr_17"/>
      <sheetName val="SO_Credit_level_8_5_yr17"/>
      <sheetName val="SO_Credit_level_8_10yr17"/>
      <sheetName val="SO_Credit_level_8_20yr17"/>
      <sheetName val="Total_Company_ratio17"/>
      <sheetName val="Total_Company_Income17"/>
      <sheetName val="Total_Comapny_BS_CF17"/>
      <sheetName val="Total_Comapny_coverage_ratio_17"/>
      <sheetName val="SO_Credit_level_417"/>
      <sheetName val="SO_Credit_level_517"/>
      <sheetName val="Discounted_Cash_Flow_Model17"/>
      <sheetName val="O-1_(277)17"/>
      <sheetName val="O-1_(521)17"/>
      <sheetName val="O-1_(626)_17"/>
      <sheetName val="Regional_Simple_Averages17"/>
      <sheetName val="ERPs_by_country17"/>
      <sheetName val="List_of_TPEs16"/>
      <sheetName val="EX_I15"/>
      <sheetName val="4A_Unit_Costs15"/>
      <sheetName val="Expense_Categories15"/>
      <sheetName val="Dropdown_list15"/>
      <sheetName val="Iowa_Source_Data15"/>
      <sheetName val="Case_1B_-_115"/>
      <sheetName val="Data_Beta15"/>
      <sheetName val="SWE_Credit_Rating_Graph_6_28_15"/>
      <sheetName val="FAS_5_15"/>
      <sheetName val="Planned_2005_Spend_Analysis-A15"/>
      <sheetName val="LE_List15"/>
      <sheetName val="Hyperion_TB2"/>
      <sheetName val="6_-_Data_Validation2"/>
      <sheetName val="1999_BUDGET2"/>
      <sheetName val="(BVI)_IS2"/>
      <sheetName val="Moscow_06052"/>
      <sheetName val="Madrid_06052"/>
      <sheetName val="Stock_06052"/>
      <sheetName val="Frankfurt_06052"/>
      <sheetName val="Paris_06052"/>
      <sheetName val="Results_from_Nov_982"/>
      <sheetName val="Co__670_HK2"/>
      <sheetName val="Fin_Perf_19"/>
      <sheetName val="SO_Credit_level_7_5_yr_18"/>
      <sheetName val="SO_Credit_level_7_10yr18"/>
      <sheetName val="SO_Credit_level_7_20yr_18"/>
      <sheetName val="SO_Credit_level_8_5_yr18"/>
      <sheetName val="SO_Credit_level_8_10yr18"/>
      <sheetName val="SO_Credit_level_8_20yr18"/>
      <sheetName val="Total_Company_ratio18"/>
      <sheetName val="Total_Company_Income18"/>
      <sheetName val="Total_Comapny_BS_CF18"/>
      <sheetName val="Total_Comapny_coverage_ratio_18"/>
      <sheetName val="SO_Credit_level_418"/>
      <sheetName val="SO_Credit_level_518"/>
      <sheetName val="Discounted_Cash_Flow_Model18"/>
      <sheetName val="O-1_(277)18"/>
      <sheetName val="O-1_(521)18"/>
      <sheetName val="O-1_(626)_18"/>
      <sheetName val="Regional_Simple_Averages18"/>
      <sheetName val="ERPs_by_country18"/>
      <sheetName val="List_of_TPEs17"/>
      <sheetName val="EX_I16"/>
      <sheetName val="4A_Unit_Costs16"/>
      <sheetName val="Expense_Categories16"/>
      <sheetName val="Dropdown_list16"/>
      <sheetName val="Iowa_Source_Data16"/>
      <sheetName val="Case_1B_-_116"/>
      <sheetName val="Data_Beta16"/>
      <sheetName val="SWE_Credit_Rating_Graph_6_28_16"/>
      <sheetName val="FAS_5_16"/>
      <sheetName val="Planned_2005_Spend_Analysis-A16"/>
      <sheetName val="LE_List16"/>
      <sheetName val="Hyperion_TB3"/>
      <sheetName val="6_-_Data_Validation3"/>
      <sheetName val="1999_BUDGET3"/>
      <sheetName val="(BVI)_IS3"/>
      <sheetName val="Moscow_06053"/>
      <sheetName val="Madrid_06053"/>
      <sheetName val="Stock_06053"/>
      <sheetName val="Frankfurt_06053"/>
      <sheetName val="Paris_06053"/>
      <sheetName val="Results_from_Nov_983"/>
      <sheetName val="Co__670_HK3"/>
      <sheetName val="Fin_Perf_20"/>
      <sheetName val="SO_Credit_level_7_5_yr_19"/>
      <sheetName val="SO_Credit_level_7_10yr19"/>
      <sheetName val="SO_Credit_level_7_20yr_19"/>
      <sheetName val="SO_Credit_level_8_5_yr19"/>
      <sheetName val="SO_Credit_level_8_10yr19"/>
      <sheetName val="SO_Credit_level_8_20yr19"/>
      <sheetName val="Total_Company_ratio19"/>
      <sheetName val="Total_Company_Income19"/>
      <sheetName val="Total_Comapny_BS_CF19"/>
      <sheetName val="Total_Comapny_coverage_ratio_19"/>
      <sheetName val="SO_Credit_level_419"/>
      <sheetName val="SO_Credit_level_519"/>
      <sheetName val="Discounted_Cash_Flow_Model19"/>
      <sheetName val="O-1_(277)19"/>
      <sheetName val="O-1_(521)19"/>
      <sheetName val="O-1_(626)_19"/>
      <sheetName val="Regional_Simple_Averages19"/>
      <sheetName val="ERPs_by_country19"/>
      <sheetName val="List_of_TPEs18"/>
      <sheetName val="EX_I17"/>
      <sheetName val="4A_Unit_Costs17"/>
      <sheetName val="Expense_Categories17"/>
      <sheetName val="Dropdown_list17"/>
      <sheetName val="Iowa_Source_Data17"/>
      <sheetName val="Case_1B_-_117"/>
      <sheetName val="Data_Beta17"/>
      <sheetName val="SWE_Credit_Rating_Graph_6_28_17"/>
      <sheetName val="FAS_5_17"/>
      <sheetName val="Planned_2005_Spend_Analysis-A17"/>
      <sheetName val="LE_List17"/>
      <sheetName val="Hyperion_TB4"/>
      <sheetName val="6_-_Data_Validation4"/>
      <sheetName val="1999_BUDGET4"/>
      <sheetName val="(BVI)_IS4"/>
      <sheetName val="Moscow_06054"/>
      <sheetName val="Madrid_06054"/>
      <sheetName val="Stock_06054"/>
      <sheetName val="Frankfurt_06054"/>
      <sheetName val="Paris_06054"/>
      <sheetName val="Results_from_Nov_984"/>
      <sheetName val="Co__670_HK4"/>
      <sheetName val="Fin_Perf_21"/>
      <sheetName val="SO_Credit_level_7_5_yr_20"/>
      <sheetName val="SO_Credit_level_7_10yr20"/>
      <sheetName val="SO_Credit_level_7_20yr_20"/>
      <sheetName val="SO_Credit_level_8_5_yr20"/>
      <sheetName val="SO_Credit_level_8_10yr20"/>
      <sheetName val="SO_Credit_level_8_20yr20"/>
      <sheetName val="Total_Company_ratio20"/>
      <sheetName val="Total_Company_Income20"/>
      <sheetName val="Total_Comapny_BS_CF20"/>
      <sheetName val="Total_Comapny_coverage_ratio_20"/>
      <sheetName val="SO_Credit_level_420"/>
      <sheetName val="SO_Credit_level_520"/>
      <sheetName val="Discounted_Cash_Flow_Model20"/>
      <sheetName val="O-1_(277)20"/>
      <sheetName val="O-1_(521)20"/>
      <sheetName val="O-1_(626)_20"/>
      <sheetName val="Regional_Simple_Averages20"/>
      <sheetName val="ERPs_by_country20"/>
      <sheetName val="List_of_TPEs19"/>
      <sheetName val="EX_I18"/>
      <sheetName val="4A_Unit_Costs18"/>
      <sheetName val="Expense_Categories18"/>
      <sheetName val="Dropdown_list18"/>
      <sheetName val="Iowa_Source_Data18"/>
      <sheetName val="Case_1B_-_118"/>
      <sheetName val="Data_Beta18"/>
      <sheetName val="SWE_Credit_Rating_Graph_6_28_18"/>
      <sheetName val="FAS_5_18"/>
      <sheetName val="Planned_2005_Spend_Analysis-A18"/>
      <sheetName val="LE_List18"/>
      <sheetName val="Hyperion_TB5"/>
      <sheetName val="6_-_Data_Validation5"/>
      <sheetName val="1999_BUDGET5"/>
      <sheetName val="(BVI)_IS5"/>
      <sheetName val="Moscow_06055"/>
      <sheetName val="Madrid_06055"/>
      <sheetName val="Stock_06055"/>
      <sheetName val="Frankfurt_06055"/>
      <sheetName val="Paris_06055"/>
      <sheetName val="Results_from_Nov_985"/>
      <sheetName val="Co__670_HK5"/>
      <sheetName val="Fin_Perf_23"/>
      <sheetName val="SO_Credit_level_7_5_yr_22"/>
      <sheetName val="SO_Credit_level_7_10yr22"/>
      <sheetName val="SO_Credit_level_7_20yr_22"/>
      <sheetName val="SO_Credit_level_8_5_yr22"/>
      <sheetName val="SO_Credit_level_8_10yr22"/>
      <sheetName val="SO_Credit_level_8_20yr22"/>
      <sheetName val="Total_Company_ratio22"/>
      <sheetName val="Total_Company_Income22"/>
      <sheetName val="Total_Comapny_BS_CF22"/>
      <sheetName val="Total_Comapny_coverage_ratio_22"/>
      <sheetName val="SO_Credit_level_422"/>
      <sheetName val="SO_Credit_level_522"/>
      <sheetName val="Discounted_Cash_Flow_Model22"/>
      <sheetName val="O-1_(277)22"/>
      <sheetName val="O-1_(521)22"/>
      <sheetName val="O-1_(626)_22"/>
      <sheetName val="Regional_Simple_Averages22"/>
      <sheetName val="ERPs_by_country22"/>
      <sheetName val="List_of_TPEs21"/>
      <sheetName val="EX_I20"/>
      <sheetName val="4A_Unit_Costs20"/>
      <sheetName val="Expense_Categories20"/>
      <sheetName val="Dropdown_list20"/>
      <sheetName val="Iowa_Source_Data20"/>
      <sheetName val="Case_1B_-_120"/>
      <sheetName val="Data_Beta20"/>
      <sheetName val="SWE_Credit_Rating_Graph_6_28_20"/>
      <sheetName val="FAS_5_20"/>
      <sheetName val="Planned_2005_Spend_Analysis-A20"/>
      <sheetName val="LE_List20"/>
      <sheetName val="Hyperion_TB7"/>
      <sheetName val="6_-_Data_Validation7"/>
      <sheetName val="1999_BUDGET7"/>
      <sheetName val="(BVI)_IS7"/>
      <sheetName val="Moscow_06057"/>
      <sheetName val="Madrid_06057"/>
      <sheetName val="Stock_06057"/>
      <sheetName val="Frankfurt_06057"/>
      <sheetName val="Paris_06057"/>
      <sheetName val="Results_from_Nov_987"/>
      <sheetName val="Co__670_HK7"/>
      <sheetName val="Fin_Perf_22"/>
      <sheetName val="SO_Credit_level_7_5_yr_21"/>
      <sheetName val="SO_Credit_level_7_10yr21"/>
      <sheetName val="SO_Credit_level_7_20yr_21"/>
      <sheetName val="SO_Credit_level_8_5_yr21"/>
      <sheetName val="SO_Credit_level_8_10yr21"/>
      <sheetName val="SO_Credit_level_8_20yr21"/>
      <sheetName val="Total_Company_ratio21"/>
      <sheetName val="Total_Company_Income21"/>
      <sheetName val="Total_Comapny_BS_CF21"/>
      <sheetName val="Total_Comapny_coverage_ratio_21"/>
      <sheetName val="SO_Credit_level_421"/>
      <sheetName val="SO_Credit_level_521"/>
      <sheetName val="Discounted_Cash_Flow_Model21"/>
      <sheetName val="O-1_(277)21"/>
      <sheetName val="O-1_(521)21"/>
      <sheetName val="O-1_(626)_21"/>
      <sheetName val="Regional_Simple_Averages21"/>
      <sheetName val="ERPs_by_country21"/>
      <sheetName val="List_of_TPEs20"/>
      <sheetName val="EX_I19"/>
      <sheetName val="4A_Unit_Costs19"/>
      <sheetName val="Expense_Categories19"/>
      <sheetName val="Dropdown_list19"/>
      <sheetName val="Iowa_Source_Data19"/>
      <sheetName val="Case_1B_-_119"/>
      <sheetName val="Data_Beta19"/>
      <sheetName val="SWE_Credit_Rating_Graph_6_28_19"/>
      <sheetName val="FAS_5_19"/>
      <sheetName val="Planned_2005_Spend_Analysis-A19"/>
      <sheetName val="LE_List19"/>
      <sheetName val="Hyperion_TB6"/>
      <sheetName val="6_-_Data_Validation6"/>
      <sheetName val="1999_BUDGET6"/>
      <sheetName val="(BVI)_IS6"/>
      <sheetName val="Moscow_06056"/>
      <sheetName val="Madrid_06056"/>
      <sheetName val="Stock_06056"/>
      <sheetName val="Frankfurt_06056"/>
      <sheetName val="Paris_06056"/>
      <sheetName val="Results_from_Nov_986"/>
      <sheetName val="Co__670_HK6"/>
      <sheetName val="1995_Cellular"/>
      <sheetName val="PXMODEL"/>
      <sheetName val="Submission_CW"/>
      <sheetName val="OTR_Walk"/>
      <sheetName val="OP_Walk"/>
      <sheetName val="HQ_Pivot"/>
      <sheetName val="HQ_Pacing"/>
      <sheetName val="MYA_S=O_&amp;_CO"/>
      <sheetName val="1995_Cellular1"/>
      <sheetName val="Submission_CW1"/>
      <sheetName val="OTR_Walk1"/>
      <sheetName val="OP_Walk1"/>
      <sheetName val="HQ_Pivot1"/>
      <sheetName val="HQ_Pacing1"/>
      <sheetName val="MYA_S=O_&amp;_CO1"/>
      <sheetName val="Expiration"/>
      <sheetName val="Patent Raw Data"/>
      <sheetName val="Plan P&amp;L"/>
      <sheetName val="Setup"/>
      <sheetName val="graph"/>
      <sheetName val="D_FOS_BS2"/>
      <sheetName val="PERIOD MIX"/>
      <sheetName val="YTD MIX"/>
      <sheetName val="Account"/>
      <sheetName val="cson &amp; cgen"/>
      <sheetName val="Capitalization"/>
      <sheetName val="Exhibit V"/>
      <sheetName val="F.13a PBC Prepaid"/>
      <sheetName val="Fin_Perf_24"/>
      <sheetName val="SO_Credit_level_7_5_yr_23"/>
      <sheetName val="SO_Credit_level_7_10yr23"/>
      <sheetName val="SO_Credit_level_7_20yr_23"/>
      <sheetName val="SO_Credit_level_8_5_yr23"/>
      <sheetName val="SO_Credit_level_8_10yr23"/>
      <sheetName val="SO_Credit_level_8_20yr23"/>
      <sheetName val="Total_Company_ratio23"/>
      <sheetName val="Total_Company_Income23"/>
      <sheetName val="Total_Comapny_BS_CF23"/>
      <sheetName val="Total_Comapny_coverage_ratio_23"/>
      <sheetName val="SO_Credit_level_423"/>
      <sheetName val="SO_Credit_level_523"/>
      <sheetName val="Discounted_Cash_Flow_Model23"/>
      <sheetName val="O-1_(277)23"/>
      <sheetName val="O-1_(521)23"/>
      <sheetName val="O-1_(626)_23"/>
      <sheetName val="Regional_Simple_Averages23"/>
      <sheetName val="ERPs_by_country23"/>
      <sheetName val="List_of_TPEs22"/>
      <sheetName val="FAS_5_21"/>
      <sheetName val="Planned_2005_Spend_Analysis-A21"/>
      <sheetName val="EX_I21"/>
      <sheetName val="4A_Unit_Costs21"/>
      <sheetName val="Dropdown_list21"/>
      <sheetName val="Expense_Categories21"/>
      <sheetName val="Case_1B_-_121"/>
      <sheetName val="Iowa_Source_Data21"/>
      <sheetName val="Data_Beta21"/>
      <sheetName val="SWE_Credit_Rating_Graph_6_28_21"/>
      <sheetName val="LE_List21"/>
      <sheetName val="Hyperion_TB8"/>
      <sheetName val="(BVI)_IS8"/>
      <sheetName val="1999_BUDGET8"/>
      <sheetName val="6_-_Data_Validation8"/>
      <sheetName val="Moscow_06058"/>
      <sheetName val="Madrid_06058"/>
      <sheetName val="Stock_06058"/>
      <sheetName val="Frankfurt_06058"/>
      <sheetName val="Paris_06058"/>
      <sheetName val="Results_from_Nov_988"/>
      <sheetName val="Co__670_HK8"/>
      <sheetName val="Index_sheet"/>
      <sheetName val="Nature_&amp;_Type_Lists"/>
      <sheetName val="E1_Debtors_ATB"/>
      <sheetName val="Closing_Statement"/>
      <sheetName val="Net_Working_Capital"/>
      <sheetName val="Peer's_Charged_Offs"/>
      <sheetName val="Data_Validation"/>
      <sheetName val="875_ACC"/>
      <sheetName val="1_6_TRS_Data"/>
      <sheetName val="Asset_Strategy"/>
      <sheetName val="Submission_CW2"/>
      <sheetName val="OTR_Walk2"/>
      <sheetName val="OP_Walk2"/>
      <sheetName val="HQ_Pivot2"/>
      <sheetName val="HQ_Pacing2"/>
      <sheetName val="MYA_S=O_&amp;_CO2"/>
      <sheetName val="1995_Cellular2"/>
      <sheetName val="Patent_Raw_Data"/>
      <sheetName val="Plan_P&amp;L"/>
      <sheetName val=" "/>
      <sheetName val="Menus"/>
      <sheetName val="Cntmrs"/>
      <sheetName val="Fin_Perf_25"/>
      <sheetName val="SO_Credit_level_7_5_yr_24"/>
      <sheetName val="SO_Credit_level_7_10yr24"/>
      <sheetName val="SO_Credit_level_7_20yr_24"/>
      <sheetName val="SO_Credit_level_8_5_yr24"/>
      <sheetName val="SO_Credit_level_8_10yr24"/>
      <sheetName val="SO_Credit_level_8_20yr24"/>
      <sheetName val="Total_Company_ratio24"/>
      <sheetName val="Total_Company_Income24"/>
      <sheetName val="Total_Comapny_BS_CF24"/>
      <sheetName val="Total_Comapny_coverage_ratio_24"/>
      <sheetName val="SO_Credit_level_424"/>
      <sheetName val="SO_Credit_level_524"/>
      <sheetName val="Discounted_Cash_Flow_Model24"/>
      <sheetName val="O-1_(277)24"/>
      <sheetName val="O-1_(521)24"/>
      <sheetName val="O-1_(626)_24"/>
      <sheetName val="Regional_Simple_Averages24"/>
      <sheetName val="ERPs_by_country24"/>
      <sheetName val="List_of_TPEs23"/>
      <sheetName val="EX_I22"/>
      <sheetName val="4A_Unit_Costs22"/>
      <sheetName val="Expense_Categories22"/>
      <sheetName val="Dropdown_list22"/>
      <sheetName val="Iowa_Source_Data22"/>
      <sheetName val="Case_1B_-_122"/>
      <sheetName val="Data_Beta22"/>
      <sheetName val="SWE_Credit_Rating_Graph_6_28_22"/>
      <sheetName val="FAS_5_22"/>
      <sheetName val="Planned_2005_Spend_Analysis-A22"/>
      <sheetName val="LE_List22"/>
      <sheetName val="Hyperion_TB9"/>
      <sheetName val="6_-_Data_Validation9"/>
      <sheetName val="1999_BUDGET9"/>
      <sheetName val="(BVI)_IS9"/>
      <sheetName val="Moscow_06059"/>
      <sheetName val="Madrid_06059"/>
      <sheetName val="Stock_06059"/>
      <sheetName val="Frankfurt_06059"/>
      <sheetName val="Paris_06059"/>
      <sheetName val="Results_from_Nov_989"/>
      <sheetName val="Co__670_HK9"/>
      <sheetName val="Fin_Perf_26"/>
      <sheetName val="SO_Credit_level_7_5_yr_25"/>
      <sheetName val="SO_Credit_level_7_10yr25"/>
      <sheetName val="SO_Credit_level_7_20yr_25"/>
      <sheetName val="SO_Credit_level_8_5_yr25"/>
      <sheetName val="SO_Credit_level_8_10yr25"/>
      <sheetName val="SO_Credit_level_8_20yr25"/>
      <sheetName val="Total_Company_ratio25"/>
      <sheetName val="Total_Company_Income25"/>
      <sheetName val="Total_Comapny_BS_CF25"/>
      <sheetName val="Total_Comapny_coverage_ratio_25"/>
      <sheetName val="SO_Credit_level_425"/>
      <sheetName val="SO_Credit_level_525"/>
      <sheetName val="Discounted_Cash_Flow_Model25"/>
      <sheetName val="O-1_(277)25"/>
      <sheetName val="O-1_(521)25"/>
      <sheetName val="O-1_(626)_25"/>
      <sheetName val="Regional_Simple_Averages25"/>
      <sheetName val="ERPs_by_country25"/>
      <sheetName val="List_of_TPEs24"/>
      <sheetName val="EX_I23"/>
      <sheetName val="4A_Unit_Costs23"/>
      <sheetName val="Expense_Categories23"/>
      <sheetName val="Dropdown_list23"/>
      <sheetName val="Iowa_Source_Data23"/>
      <sheetName val="Case_1B_-_123"/>
      <sheetName val="Data_Beta23"/>
      <sheetName val="SWE_Credit_Rating_Graph_6_28_23"/>
      <sheetName val="FAS_5_23"/>
      <sheetName val="Planned_2005_Spend_Analysis-A23"/>
      <sheetName val="LE_List23"/>
      <sheetName val="Hyperion_TB10"/>
      <sheetName val="6_-_Data_Validation10"/>
      <sheetName val="1999_BUDGET10"/>
      <sheetName val="(BVI)_IS10"/>
      <sheetName val="Moscow_060510"/>
      <sheetName val="Madrid_060510"/>
      <sheetName val="Stock_060510"/>
      <sheetName val="Frankfurt_060510"/>
      <sheetName val="Paris_060510"/>
      <sheetName val="Results_from_Nov_9810"/>
      <sheetName val="Co__670_HK10"/>
      <sheetName val="Fin_Perf_27"/>
      <sheetName val="SO_Credit_level_7_5_yr_26"/>
      <sheetName val="SO_Credit_level_7_10yr26"/>
      <sheetName val="SO_Credit_level_7_20yr_26"/>
      <sheetName val="SO_Credit_level_8_5_yr26"/>
      <sheetName val="SO_Credit_level_8_10yr26"/>
      <sheetName val="SO_Credit_level_8_20yr26"/>
      <sheetName val="Total_Company_ratio26"/>
      <sheetName val="Total_Company_Income26"/>
      <sheetName val="Total_Comapny_BS_CF26"/>
      <sheetName val="Total_Comapny_coverage_ratio_26"/>
      <sheetName val="SO_Credit_level_426"/>
      <sheetName val="SO_Credit_level_526"/>
      <sheetName val="Discounted_Cash_Flow_Model26"/>
      <sheetName val="O-1_(277)26"/>
      <sheetName val="O-1_(521)26"/>
      <sheetName val="O-1_(626)_26"/>
      <sheetName val="Regional_Simple_Averages26"/>
      <sheetName val="ERPs_by_country26"/>
      <sheetName val="List_of_TPEs25"/>
      <sheetName val="EX_I24"/>
      <sheetName val="4A_Unit_Costs24"/>
      <sheetName val="Expense_Categories24"/>
      <sheetName val="Dropdown_list24"/>
      <sheetName val="Iowa_Source_Data24"/>
      <sheetName val="Case_1B_-_124"/>
      <sheetName val="Data_Beta24"/>
      <sheetName val="SWE_Credit_Rating_Graph_6_28_24"/>
      <sheetName val="FAS_5_24"/>
      <sheetName val="Planned_2005_Spend_Analysis-A24"/>
      <sheetName val="LE_List24"/>
      <sheetName val="Hyperion_TB11"/>
      <sheetName val="6_-_Data_Validation11"/>
      <sheetName val="1999_BUDGET11"/>
      <sheetName val="(BVI)_IS11"/>
      <sheetName val="Moscow_060511"/>
      <sheetName val="Madrid_060511"/>
      <sheetName val="Stock_060511"/>
      <sheetName val="Frankfurt_060511"/>
      <sheetName val="Paris_060511"/>
      <sheetName val="Results_from_Nov_9811"/>
      <sheetName val="Co__670_HK11"/>
      <sheetName val="Fin_Perf_28"/>
      <sheetName val="SO_Credit_level_7_5_yr_27"/>
      <sheetName val="SO_Credit_level_7_10yr27"/>
      <sheetName val="SO_Credit_level_7_20yr_27"/>
      <sheetName val="SO_Credit_level_8_5_yr27"/>
      <sheetName val="SO_Credit_level_8_10yr27"/>
      <sheetName val="SO_Credit_level_8_20yr27"/>
      <sheetName val="Total_Company_ratio27"/>
      <sheetName val="Total_Company_Income27"/>
      <sheetName val="Total_Comapny_BS_CF27"/>
      <sheetName val="Total_Comapny_coverage_ratio_27"/>
      <sheetName val="SO_Credit_level_427"/>
      <sheetName val="SO_Credit_level_527"/>
      <sheetName val="Discounted_Cash_Flow_Model27"/>
      <sheetName val="O-1_(277)27"/>
      <sheetName val="O-1_(521)27"/>
      <sheetName val="O-1_(626)_27"/>
      <sheetName val="Regional_Simple_Averages27"/>
      <sheetName val="ERPs_by_country27"/>
      <sheetName val="List_of_TPEs26"/>
      <sheetName val="EX_I25"/>
      <sheetName val="4A_Unit_Costs25"/>
      <sheetName val="Expense_Categories25"/>
      <sheetName val="Dropdown_list25"/>
      <sheetName val="Iowa_Source_Data25"/>
      <sheetName val="Case_1B_-_125"/>
      <sheetName val="Data_Beta25"/>
      <sheetName val="SWE_Credit_Rating_Graph_6_28_25"/>
      <sheetName val="FAS_5_25"/>
      <sheetName val="Planned_2005_Spend_Analysis-A25"/>
      <sheetName val="LE_List25"/>
      <sheetName val="Hyperion_TB12"/>
      <sheetName val="6_-_Data_Validation12"/>
      <sheetName val="1999_BUDGET12"/>
      <sheetName val="(BVI)_IS12"/>
      <sheetName val="Moscow_060512"/>
      <sheetName val="Madrid_060512"/>
      <sheetName val="Stock_060512"/>
      <sheetName val="Frankfurt_060512"/>
      <sheetName val="Paris_060512"/>
      <sheetName val="Results_from_Nov_9812"/>
      <sheetName val="Co__670_HK12"/>
      <sheetName val="Fin_Perf_29"/>
      <sheetName val="SO_Credit_level_7_5_yr_28"/>
      <sheetName val="SO_Credit_level_7_10yr28"/>
      <sheetName val="SO_Credit_level_7_20yr_28"/>
      <sheetName val="SO_Credit_level_8_5_yr28"/>
      <sheetName val="SO_Credit_level_8_10yr28"/>
      <sheetName val="SO_Credit_level_8_20yr28"/>
      <sheetName val="Total_Company_ratio28"/>
      <sheetName val="Total_Company_Income28"/>
      <sheetName val="Total_Comapny_BS_CF28"/>
      <sheetName val="Total_Comapny_coverage_ratio_28"/>
      <sheetName val="SO_Credit_level_428"/>
      <sheetName val="SO_Credit_level_528"/>
      <sheetName val="Discounted_Cash_Flow_Model28"/>
      <sheetName val="O-1_(277)28"/>
      <sheetName val="O-1_(521)28"/>
      <sheetName val="O-1_(626)_28"/>
      <sheetName val="Regional_Simple_Averages28"/>
      <sheetName val="ERPs_by_country28"/>
      <sheetName val="List_of_TPEs27"/>
      <sheetName val="EX_I26"/>
      <sheetName val="4A_Unit_Costs26"/>
      <sheetName val="Expense_Categories26"/>
      <sheetName val="Dropdown_list26"/>
      <sheetName val="Iowa_Source_Data26"/>
      <sheetName val="Case_1B_-_126"/>
      <sheetName val="Data_Beta26"/>
      <sheetName val="SWE_Credit_Rating_Graph_6_28_26"/>
      <sheetName val="FAS_5_26"/>
      <sheetName val="Planned_2005_Spend_Analysis-A26"/>
      <sheetName val="LE_List26"/>
      <sheetName val="Hyperion_TB13"/>
      <sheetName val="6_-_Data_Validation13"/>
      <sheetName val="1999_BUDGET13"/>
      <sheetName val="(BVI)_IS13"/>
      <sheetName val="Moscow_060513"/>
      <sheetName val="Madrid_060513"/>
      <sheetName val="Stock_060513"/>
      <sheetName val="Frankfurt_060513"/>
      <sheetName val="Paris_060513"/>
      <sheetName val="Results_from_Nov_9813"/>
      <sheetName val="Co__670_HK13"/>
      <sheetName val="Fin_Perf_30"/>
      <sheetName val="SO_Credit_level_7_5_yr_29"/>
      <sheetName val="SO_Credit_level_7_10yr29"/>
      <sheetName val="SO_Credit_level_7_20yr_29"/>
      <sheetName val="SO_Credit_level_8_5_yr29"/>
      <sheetName val="SO_Credit_level_8_10yr29"/>
      <sheetName val="SO_Credit_level_8_20yr29"/>
      <sheetName val="Total_Company_ratio29"/>
      <sheetName val="Total_Company_Income29"/>
      <sheetName val="Total_Comapny_BS_CF29"/>
      <sheetName val="Total_Comapny_coverage_ratio_29"/>
      <sheetName val="SO_Credit_level_429"/>
      <sheetName val="SO_Credit_level_529"/>
      <sheetName val="Discounted_Cash_Flow_Model29"/>
      <sheetName val="O-1_(277)29"/>
      <sheetName val="O-1_(521)29"/>
      <sheetName val="O-1_(626)_29"/>
      <sheetName val="Regional_Simple_Averages29"/>
      <sheetName val="ERPs_by_country29"/>
      <sheetName val="List_of_TPEs28"/>
      <sheetName val="EX_I27"/>
      <sheetName val="4A_Unit_Costs27"/>
      <sheetName val="Expense_Categories27"/>
      <sheetName val="Dropdown_list27"/>
      <sheetName val="Iowa_Source_Data27"/>
      <sheetName val="Case_1B_-_127"/>
      <sheetName val="Data_Beta27"/>
      <sheetName val="SWE_Credit_Rating_Graph_6_28_27"/>
      <sheetName val="FAS_5_27"/>
      <sheetName val="Planned_2005_Spend_Analysis-A27"/>
      <sheetName val="LE_List27"/>
      <sheetName val="Hyperion_TB14"/>
      <sheetName val="6_-_Data_Validation14"/>
      <sheetName val="1999_BUDGET14"/>
      <sheetName val="(BVI)_IS14"/>
      <sheetName val="Moscow_060514"/>
      <sheetName val="Madrid_060514"/>
      <sheetName val="Stock_060514"/>
      <sheetName val="Frankfurt_060514"/>
      <sheetName val="Paris_060514"/>
      <sheetName val="Results_from_Nov_9814"/>
      <sheetName val="Co__670_HK14"/>
      <sheetName val="Fin_Perf_31"/>
      <sheetName val="SO_Credit_level_7_5_yr_30"/>
      <sheetName val="SO_Credit_level_7_10yr30"/>
      <sheetName val="SO_Credit_level_7_20yr_30"/>
      <sheetName val="SO_Credit_level_8_5_yr30"/>
      <sheetName val="SO_Credit_level_8_10yr30"/>
      <sheetName val="SO_Credit_level_8_20yr30"/>
      <sheetName val="Total_Company_ratio30"/>
      <sheetName val="Total_Company_Income30"/>
      <sheetName val="Total_Comapny_BS_CF30"/>
      <sheetName val="Total_Comapny_coverage_ratio_30"/>
      <sheetName val="SO_Credit_level_430"/>
      <sheetName val="SO_Credit_level_530"/>
      <sheetName val="Discounted_Cash_Flow_Model30"/>
      <sheetName val="O-1_(277)30"/>
      <sheetName val="O-1_(521)30"/>
      <sheetName val="O-1_(626)_30"/>
      <sheetName val="Regional_Simple_Averages30"/>
      <sheetName val="ERPs_by_country30"/>
      <sheetName val="List_of_TPEs29"/>
      <sheetName val="EX_I28"/>
      <sheetName val="4A_Unit_Costs28"/>
      <sheetName val="Expense_Categories28"/>
      <sheetName val="Dropdown_list28"/>
      <sheetName val="Iowa_Source_Data28"/>
      <sheetName val="Case_1B_-_128"/>
      <sheetName val="Data_Beta28"/>
      <sheetName val="SWE_Credit_Rating_Graph_6_28_28"/>
      <sheetName val="FAS_5_28"/>
      <sheetName val="Planned_2005_Spend_Analysis-A28"/>
      <sheetName val="LE_List28"/>
      <sheetName val="Hyperion_TB15"/>
      <sheetName val="6_-_Data_Validation15"/>
      <sheetName val="1999_BUDGET15"/>
      <sheetName val="(BVI)_IS15"/>
      <sheetName val="Moscow_060515"/>
      <sheetName val="Madrid_060515"/>
      <sheetName val="Stock_060515"/>
      <sheetName val="Frankfurt_060515"/>
      <sheetName val="Paris_060515"/>
      <sheetName val="Results_from_Nov_9815"/>
      <sheetName val="Co__670_HK15"/>
      <sheetName val="Fin_Perf_32"/>
      <sheetName val="SO_Credit_level_7_5_yr_31"/>
      <sheetName val="SO_Credit_level_7_10yr31"/>
      <sheetName val="SO_Credit_level_7_20yr_31"/>
      <sheetName val="SO_Credit_level_8_5_yr31"/>
      <sheetName val="SO_Credit_level_8_10yr31"/>
      <sheetName val="SO_Credit_level_8_20yr31"/>
      <sheetName val="Total_Company_ratio31"/>
      <sheetName val="Total_Company_Income31"/>
      <sheetName val="Total_Comapny_BS_CF31"/>
      <sheetName val="Total_Comapny_coverage_ratio_31"/>
      <sheetName val="SO_Credit_level_431"/>
      <sheetName val="SO_Credit_level_531"/>
      <sheetName val="Discounted_Cash_Flow_Model31"/>
      <sheetName val="O-1_(277)31"/>
      <sheetName val="O-1_(521)31"/>
      <sheetName val="O-1_(626)_31"/>
      <sheetName val="Regional_Simple_Averages31"/>
      <sheetName val="ERPs_by_country31"/>
      <sheetName val="List_of_TPEs30"/>
      <sheetName val="EX_I29"/>
      <sheetName val="4A_Unit_Costs29"/>
      <sheetName val="Expense_Categories29"/>
      <sheetName val="Dropdown_list29"/>
      <sheetName val="Iowa_Source_Data29"/>
      <sheetName val="Case_1B_-_129"/>
      <sheetName val="Data_Beta29"/>
      <sheetName val="SWE_Credit_Rating_Graph_6_28_29"/>
      <sheetName val="FAS_5_29"/>
      <sheetName val="Planned_2005_Spend_Analysis-A29"/>
      <sheetName val="LE_List29"/>
      <sheetName val="Hyperion_TB16"/>
      <sheetName val="6_-_Data_Validation16"/>
      <sheetName val="1999_BUDGET16"/>
      <sheetName val="(BVI)_IS16"/>
      <sheetName val="Moscow_060516"/>
      <sheetName val="Madrid_060516"/>
      <sheetName val="Stock_060516"/>
      <sheetName val="Frankfurt_060516"/>
      <sheetName val="Paris_060516"/>
      <sheetName val="Results_from_Nov_9816"/>
      <sheetName val="Co__670_HK16"/>
      <sheetName val="Fin_Perf_33"/>
      <sheetName val="SO_Credit_level_7_5_yr_32"/>
      <sheetName val="SO_Credit_level_7_10yr32"/>
      <sheetName val="SO_Credit_level_7_20yr_32"/>
      <sheetName val="SO_Credit_level_8_5_yr32"/>
      <sheetName val="SO_Credit_level_8_10yr32"/>
      <sheetName val="SO_Credit_level_8_20yr32"/>
      <sheetName val="Total_Company_ratio32"/>
      <sheetName val="Total_Company_Income32"/>
      <sheetName val="Total_Comapny_BS_CF32"/>
      <sheetName val="Total_Comapny_coverage_ratio_32"/>
      <sheetName val="SO_Credit_level_432"/>
      <sheetName val="SO_Credit_level_532"/>
      <sheetName val="Discounted_Cash_Flow_Model32"/>
      <sheetName val="O-1_(277)32"/>
      <sheetName val="O-1_(521)32"/>
      <sheetName val="O-1_(626)_32"/>
      <sheetName val="Regional_Simple_Averages32"/>
      <sheetName val="ERPs_by_country32"/>
      <sheetName val="List_of_TPEs31"/>
      <sheetName val="EX_I30"/>
      <sheetName val="4A_Unit_Costs30"/>
      <sheetName val="Expense_Categories30"/>
      <sheetName val="Dropdown_list30"/>
      <sheetName val="Iowa_Source_Data30"/>
      <sheetName val="Case_1B_-_130"/>
      <sheetName val="Data_Beta30"/>
      <sheetName val="SWE_Credit_Rating_Graph_6_28_30"/>
      <sheetName val="FAS_5_30"/>
      <sheetName val="Planned_2005_Spend_Analysis-A30"/>
      <sheetName val="LE_List30"/>
      <sheetName val="Hyperion_TB17"/>
      <sheetName val="6_-_Data_Validation17"/>
      <sheetName val="1999_BUDGET17"/>
      <sheetName val="(BVI)_IS17"/>
      <sheetName val="Moscow_060517"/>
      <sheetName val="Madrid_060517"/>
      <sheetName val="Stock_060517"/>
      <sheetName val="Frankfurt_060517"/>
      <sheetName val="Paris_060517"/>
      <sheetName val="Results_from_Nov_9817"/>
      <sheetName val="Co__670_HK17"/>
      <sheetName val="Fin_Perf_34"/>
      <sheetName val="SO_Credit_level_7_5_yr_33"/>
      <sheetName val="SO_Credit_level_7_10yr33"/>
      <sheetName val="SO_Credit_level_7_20yr_33"/>
      <sheetName val="SO_Credit_level_8_5_yr33"/>
      <sheetName val="SO_Credit_level_8_10yr33"/>
      <sheetName val="SO_Credit_level_8_20yr33"/>
      <sheetName val="Total_Company_ratio33"/>
      <sheetName val="Total_Company_Income33"/>
      <sheetName val="Total_Comapny_BS_CF33"/>
      <sheetName val="Total_Comapny_coverage_ratio_33"/>
      <sheetName val="SO_Credit_level_433"/>
      <sheetName val="SO_Credit_level_533"/>
      <sheetName val="Discounted_Cash_Flow_Model33"/>
      <sheetName val="O-1_(277)33"/>
      <sheetName val="O-1_(521)33"/>
      <sheetName val="O-1_(626)_33"/>
      <sheetName val="Regional_Simple_Averages33"/>
      <sheetName val="ERPs_by_country33"/>
      <sheetName val="List_of_TPEs32"/>
      <sheetName val="EX_I31"/>
      <sheetName val="4A_Unit_Costs31"/>
      <sheetName val="Expense_Categories31"/>
      <sheetName val="Dropdown_list31"/>
      <sheetName val="Iowa_Source_Data31"/>
      <sheetName val="Case_1B_-_131"/>
      <sheetName val="Data_Beta31"/>
      <sheetName val="SWE_Credit_Rating_Graph_6_28_31"/>
      <sheetName val="FAS_5_31"/>
      <sheetName val="Planned_2005_Spend_Analysis-A31"/>
      <sheetName val="LE_List31"/>
      <sheetName val="Hyperion_TB18"/>
      <sheetName val="6_-_Data_Validation18"/>
      <sheetName val="1999_BUDGET18"/>
      <sheetName val="(BVI)_IS18"/>
      <sheetName val="Moscow_060518"/>
      <sheetName val="Madrid_060518"/>
      <sheetName val="Stock_060518"/>
      <sheetName val="Frankfurt_060518"/>
      <sheetName val="Paris_060518"/>
      <sheetName val="Results_from_Nov_9818"/>
      <sheetName val="Co__670_HK18"/>
      <sheetName val="Fin_Perf_35"/>
      <sheetName val="SO_Credit_level_7_5_yr_34"/>
      <sheetName val="SO_Credit_level_7_10yr34"/>
      <sheetName val="SO_Credit_level_7_20yr_34"/>
      <sheetName val="SO_Credit_level_8_5_yr34"/>
      <sheetName val="SO_Credit_level_8_10yr34"/>
      <sheetName val="SO_Credit_level_8_20yr34"/>
      <sheetName val="Total_Company_ratio34"/>
      <sheetName val="Total_Company_Income34"/>
      <sheetName val="Total_Comapny_BS_CF34"/>
      <sheetName val="Total_Comapny_coverage_ratio_34"/>
      <sheetName val="SO_Credit_level_434"/>
      <sheetName val="SO_Credit_level_534"/>
      <sheetName val="Discounted_Cash_Flow_Model34"/>
      <sheetName val="O-1_(277)34"/>
      <sheetName val="O-1_(521)34"/>
      <sheetName val="O-1_(626)_34"/>
      <sheetName val="Regional_Simple_Averages34"/>
      <sheetName val="ERPs_by_country34"/>
      <sheetName val="List_of_TPEs33"/>
      <sheetName val="EX_I32"/>
      <sheetName val="4A_Unit_Costs32"/>
      <sheetName val="Expense_Categories32"/>
      <sheetName val="Dropdown_list32"/>
      <sheetName val="Iowa_Source_Data32"/>
      <sheetName val="Case_1B_-_132"/>
      <sheetName val="Data_Beta32"/>
      <sheetName val="SWE_Credit_Rating_Graph_6_28_32"/>
      <sheetName val="FAS_5_32"/>
      <sheetName val="Planned_2005_Spend_Analysis-A32"/>
      <sheetName val="LE_List32"/>
      <sheetName val="Hyperion_TB19"/>
      <sheetName val="6_-_Data_Validation19"/>
      <sheetName val="1999_BUDGET19"/>
      <sheetName val="(BVI)_IS19"/>
      <sheetName val="Moscow_060519"/>
      <sheetName val="Madrid_060519"/>
      <sheetName val="Stock_060519"/>
      <sheetName val="Frankfurt_060519"/>
      <sheetName val="Paris_060519"/>
      <sheetName val="Results_from_Nov_9819"/>
      <sheetName val="Co__670_HK19"/>
      <sheetName val="Fin_Perf_43"/>
      <sheetName val="SO_Credit_level_7_5_yr_42"/>
      <sheetName val="SO_Credit_level_7_10yr42"/>
      <sheetName val="SO_Credit_level_7_20yr_42"/>
      <sheetName val="SO_Credit_level_8_5_yr42"/>
      <sheetName val="SO_Credit_level_8_10yr42"/>
      <sheetName val="SO_Credit_level_8_20yr42"/>
      <sheetName val="Total_Company_ratio42"/>
      <sheetName val="Total_Company_Income42"/>
      <sheetName val="Total_Comapny_BS_CF42"/>
      <sheetName val="Total_Comapny_coverage_ratio_42"/>
      <sheetName val="SO_Credit_level_442"/>
      <sheetName val="SO_Credit_level_542"/>
      <sheetName val="Discounted_Cash_Flow_Model42"/>
      <sheetName val="O-1_(277)42"/>
      <sheetName val="O-1_(521)42"/>
      <sheetName val="O-1_(626)_42"/>
      <sheetName val="Regional_Simple_Averages42"/>
      <sheetName val="ERPs_by_country42"/>
      <sheetName val="List_of_TPEs41"/>
      <sheetName val="EX_I40"/>
      <sheetName val="4A_Unit_Costs40"/>
      <sheetName val="Dropdown_list40"/>
      <sheetName val="Expense_Categories40"/>
      <sheetName val="Iowa_Source_Data40"/>
      <sheetName val="Case_1B_-_140"/>
      <sheetName val="SWE_Credit_Rating_Graph_6_28_40"/>
      <sheetName val="Data_Beta40"/>
      <sheetName val="FAS_5_40"/>
      <sheetName val="Planned_2005_Spend_Analysis-A40"/>
      <sheetName val="LE_List40"/>
      <sheetName val="Hyperion_TB27"/>
      <sheetName val="(BVI)_IS27"/>
      <sheetName val="1999_BUDGET27"/>
      <sheetName val="6_-_Data_Validation27"/>
      <sheetName val="Moscow_060527"/>
      <sheetName val="Madrid_060527"/>
      <sheetName val="Stock_060527"/>
      <sheetName val="Frankfurt_060527"/>
      <sheetName val="Paris_060527"/>
      <sheetName val="Results_from_Nov_9827"/>
      <sheetName val="Co__670_HK27"/>
      <sheetName val="Inputs_&gt;&gt;1"/>
      <sheetName val="D)_Trial_Balance1"/>
      <sheetName val="Index_sheet1"/>
      <sheetName val="Nature_&amp;_Type_Lists1"/>
      <sheetName val="E1_Debtors_ATB1"/>
      <sheetName val="ADDT_DEPR1"/>
      <sheetName val="Closing_Statement1"/>
      <sheetName val="1_6_TRS_Data2"/>
      <sheetName val="Peer's_Charged_Offs1"/>
      <sheetName val="Net_Working_Capital1"/>
      <sheetName val="AR_1"/>
      <sheetName val="Submission_CW3"/>
      <sheetName val="OTR_Walk3"/>
      <sheetName val="OP_Walk3"/>
      <sheetName val="HQ_Pivot3"/>
      <sheetName val="HQ_Pacing3"/>
      <sheetName val="MYA_S=O_&amp;_CO3"/>
      <sheetName val="1995_Cellular3"/>
      <sheetName val="Data_Validation1"/>
      <sheetName val="875_ACC1"/>
      <sheetName val="Performance_Cases1"/>
      <sheetName val="Asset_Strategy1"/>
      <sheetName val="Patent_Raw_Data1"/>
      <sheetName val="Plan_P&amp;L1"/>
      <sheetName val="PERIOD_MIX"/>
      <sheetName val="YTD_MIX"/>
      <sheetName val="cson_&amp;_cgen"/>
      <sheetName val="Exhibit_V"/>
      <sheetName val="F_13a_PBC_Prepaid"/>
      <sheetName val="_"/>
      <sheetName val="Fin_Perf_36"/>
      <sheetName val="SO_Credit_level_7_5_yr_35"/>
      <sheetName val="SO_Credit_level_7_10yr35"/>
      <sheetName val="SO_Credit_level_7_20yr_35"/>
      <sheetName val="SO_Credit_level_8_5_yr35"/>
      <sheetName val="SO_Credit_level_8_10yr35"/>
      <sheetName val="SO_Credit_level_8_20yr35"/>
      <sheetName val="Total_Company_ratio35"/>
      <sheetName val="Total_Company_Income35"/>
      <sheetName val="Total_Comapny_BS_CF35"/>
      <sheetName val="Total_Comapny_coverage_ratio_35"/>
      <sheetName val="SO_Credit_level_435"/>
      <sheetName val="SO_Credit_level_535"/>
      <sheetName val="Discounted_Cash_Flow_Model35"/>
      <sheetName val="O-1_(277)35"/>
      <sheetName val="O-1_(521)35"/>
      <sheetName val="O-1_(626)_35"/>
      <sheetName val="Regional_Simple_Averages35"/>
      <sheetName val="ERPs_by_country35"/>
      <sheetName val="List_of_TPEs34"/>
      <sheetName val="EX_I33"/>
      <sheetName val="4A_Unit_Costs33"/>
      <sheetName val="Expense_Categories33"/>
      <sheetName val="Dropdown_list33"/>
      <sheetName val="Iowa_Source_Data33"/>
      <sheetName val="Case_1B_-_133"/>
      <sheetName val="Data_Beta33"/>
      <sheetName val="SWE_Credit_Rating_Graph_6_28_33"/>
      <sheetName val="FAS_5_33"/>
      <sheetName val="Planned_2005_Spend_Analysis-A33"/>
      <sheetName val="LE_List33"/>
      <sheetName val="Hyperion_TB20"/>
      <sheetName val="6_-_Data_Validation20"/>
      <sheetName val="1999_BUDGET20"/>
      <sheetName val="(BVI)_IS20"/>
      <sheetName val="Moscow_060520"/>
      <sheetName val="Madrid_060520"/>
      <sheetName val="Stock_060520"/>
      <sheetName val="Frankfurt_060520"/>
      <sheetName val="Paris_060520"/>
      <sheetName val="Results_from_Nov_9820"/>
      <sheetName val="Co__670_HK20"/>
      <sheetName val="Fin_Perf_38"/>
      <sheetName val="SO_Credit_level_7_5_yr_37"/>
      <sheetName val="SO_Credit_level_7_10yr37"/>
      <sheetName val="SO_Credit_level_7_20yr_37"/>
      <sheetName val="SO_Credit_level_8_5_yr37"/>
      <sheetName val="SO_Credit_level_8_10yr37"/>
      <sheetName val="SO_Credit_level_8_20yr37"/>
      <sheetName val="Total_Company_ratio37"/>
      <sheetName val="Total_Company_Income37"/>
      <sheetName val="Total_Comapny_BS_CF37"/>
      <sheetName val="Total_Comapny_coverage_ratio_37"/>
      <sheetName val="SO_Credit_level_437"/>
      <sheetName val="SO_Credit_level_537"/>
      <sheetName val="Discounted_Cash_Flow_Model37"/>
      <sheetName val="O-1_(277)37"/>
      <sheetName val="O-1_(521)37"/>
      <sheetName val="O-1_(626)_37"/>
      <sheetName val="Regional_Simple_Averages37"/>
      <sheetName val="ERPs_by_country37"/>
      <sheetName val="List_of_TPEs36"/>
      <sheetName val="EX_I35"/>
      <sheetName val="4A_Unit_Costs35"/>
      <sheetName val="Expense_Categories35"/>
      <sheetName val="Dropdown_list35"/>
      <sheetName val="Iowa_Source_Data35"/>
      <sheetName val="Case_1B_-_135"/>
      <sheetName val="Data_Beta35"/>
      <sheetName val="SWE_Credit_Rating_Graph_6_28_35"/>
      <sheetName val="FAS_5_35"/>
      <sheetName val="Planned_2005_Spend_Analysis-A35"/>
      <sheetName val="LE_List35"/>
      <sheetName val="Hyperion_TB22"/>
      <sheetName val="6_-_Data_Validation22"/>
      <sheetName val="1999_BUDGET22"/>
      <sheetName val="(BVI)_IS22"/>
      <sheetName val="Moscow_060522"/>
      <sheetName val="Madrid_060522"/>
      <sheetName val="Stock_060522"/>
      <sheetName val="Frankfurt_060522"/>
      <sheetName val="Paris_060522"/>
      <sheetName val="Results_from_Nov_9822"/>
      <sheetName val="Co__670_HK22"/>
      <sheetName val="Fin_Perf_37"/>
      <sheetName val="SO_Credit_level_7_5_yr_36"/>
      <sheetName val="SO_Credit_level_7_10yr36"/>
      <sheetName val="SO_Credit_level_7_20yr_36"/>
      <sheetName val="SO_Credit_level_8_5_yr36"/>
      <sheetName val="SO_Credit_level_8_10yr36"/>
      <sheetName val="SO_Credit_level_8_20yr36"/>
      <sheetName val="Total_Company_ratio36"/>
      <sheetName val="Total_Company_Income36"/>
      <sheetName val="Total_Comapny_BS_CF36"/>
      <sheetName val="Total_Comapny_coverage_ratio_36"/>
      <sheetName val="SO_Credit_level_436"/>
      <sheetName val="SO_Credit_level_536"/>
      <sheetName val="Discounted_Cash_Flow_Model36"/>
      <sheetName val="O-1_(277)36"/>
      <sheetName val="O-1_(521)36"/>
      <sheetName val="O-1_(626)_36"/>
      <sheetName val="Regional_Simple_Averages36"/>
      <sheetName val="ERPs_by_country36"/>
      <sheetName val="List_of_TPEs35"/>
      <sheetName val="EX_I34"/>
      <sheetName val="4A_Unit_Costs34"/>
      <sheetName val="Expense_Categories34"/>
      <sheetName val="Dropdown_list34"/>
      <sheetName val="Iowa_Source_Data34"/>
      <sheetName val="Case_1B_-_134"/>
      <sheetName val="Data_Beta34"/>
      <sheetName val="SWE_Credit_Rating_Graph_6_28_34"/>
      <sheetName val="FAS_5_34"/>
      <sheetName val="Planned_2005_Spend_Analysis-A34"/>
      <sheetName val="LE_List34"/>
      <sheetName val="Hyperion_TB21"/>
      <sheetName val="6_-_Data_Validation21"/>
      <sheetName val="1999_BUDGET21"/>
      <sheetName val="(BVI)_IS21"/>
      <sheetName val="Moscow_060521"/>
      <sheetName val="Madrid_060521"/>
      <sheetName val="Stock_060521"/>
      <sheetName val="Frankfurt_060521"/>
      <sheetName val="Paris_060521"/>
      <sheetName val="Results_from_Nov_9821"/>
      <sheetName val="Co__670_HK21"/>
      <sheetName val="Fin_Perf_39"/>
      <sheetName val="SO_Credit_level_7_5_yr_38"/>
      <sheetName val="SO_Credit_level_7_10yr38"/>
      <sheetName val="SO_Credit_level_7_20yr_38"/>
      <sheetName val="SO_Credit_level_8_5_yr38"/>
      <sheetName val="SO_Credit_level_8_10yr38"/>
      <sheetName val="SO_Credit_level_8_20yr38"/>
      <sheetName val="Total_Company_ratio38"/>
      <sheetName val="Total_Company_Income38"/>
      <sheetName val="Total_Comapny_BS_CF38"/>
      <sheetName val="Total_Comapny_coverage_ratio_38"/>
      <sheetName val="SO_Credit_level_438"/>
      <sheetName val="SO_Credit_level_538"/>
      <sheetName val="Discounted_Cash_Flow_Model38"/>
      <sheetName val="O-1_(277)38"/>
      <sheetName val="O-1_(521)38"/>
      <sheetName val="O-1_(626)_38"/>
      <sheetName val="Regional_Simple_Averages38"/>
      <sheetName val="ERPs_by_country38"/>
      <sheetName val="List_of_TPEs37"/>
      <sheetName val="EX_I36"/>
      <sheetName val="4A_Unit_Costs36"/>
      <sheetName val="Expense_Categories36"/>
      <sheetName val="Dropdown_list36"/>
      <sheetName val="Iowa_Source_Data36"/>
      <sheetName val="Case_1B_-_136"/>
      <sheetName val="Data_Beta36"/>
      <sheetName val="SWE_Credit_Rating_Graph_6_28_36"/>
      <sheetName val="FAS_5_36"/>
      <sheetName val="Planned_2005_Spend_Analysis-A36"/>
      <sheetName val="LE_List36"/>
      <sheetName val="Hyperion_TB23"/>
      <sheetName val="6_-_Data_Validation23"/>
      <sheetName val="1999_BUDGET23"/>
      <sheetName val="(BVI)_IS23"/>
      <sheetName val="Moscow_060523"/>
      <sheetName val="Madrid_060523"/>
      <sheetName val="Stock_060523"/>
      <sheetName val="Frankfurt_060523"/>
      <sheetName val="Paris_060523"/>
      <sheetName val="Results_from_Nov_9823"/>
      <sheetName val="Co__670_HK23"/>
      <sheetName val="Fin_Perf_40"/>
      <sheetName val="SO_Credit_level_7_5_yr_39"/>
      <sheetName val="SO_Credit_level_7_10yr39"/>
      <sheetName val="SO_Credit_level_7_20yr_39"/>
      <sheetName val="SO_Credit_level_8_5_yr39"/>
      <sheetName val="SO_Credit_level_8_10yr39"/>
      <sheetName val="SO_Credit_level_8_20yr39"/>
      <sheetName val="Total_Company_ratio39"/>
      <sheetName val="Total_Company_Income39"/>
      <sheetName val="Total_Comapny_BS_CF39"/>
      <sheetName val="Total_Comapny_coverage_ratio_39"/>
      <sheetName val="SO_Credit_level_439"/>
      <sheetName val="SO_Credit_level_539"/>
      <sheetName val="Discounted_Cash_Flow_Model39"/>
      <sheetName val="O-1_(277)39"/>
      <sheetName val="O-1_(521)39"/>
      <sheetName val="O-1_(626)_39"/>
      <sheetName val="Regional_Simple_Averages39"/>
      <sheetName val="ERPs_by_country39"/>
      <sheetName val="List_of_TPEs38"/>
      <sheetName val="EX_I37"/>
      <sheetName val="4A_Unit_Costs37"/>
      <sheetName val="Expense_Categories37"/>
      <sheetName val="Dropdown_list37"/>
      <sheetName val="Iowa_Source_Data37"/>
      <sheetName val="Case_1B_-_137"/>
      <sheetName val="Data_Beta37"/>
      <sheetName val="SWE_Credit_Rating_Graph_6_28_37"/>
      <sheetName val="FAS_5_37"/>
      <sheetName val="Planned_2005_Spend_Analysis-A37"/>
      <sheetName val="LE_List37"/>
      <sheetName val="Hyperion_TB24"/>
      <sheetName val="6_-_Data_Validation24"/>
      <sheetName val="1999_BUDGET24"/>
      <sheetName val="(BVI)_IS24"/>
      <sheetName val="Moscow_060524"/>
      <sheetName val="Madrid_060524"/>
      <sheetName val="Stock_060524"/>
      <sheetName val="Frankfurt_060524"/>
      <sheetName val="Paris_060524"/>
      <sheetName val="Results_from_Nov_9824"/>
      <sheetName val="Co__670_HK24"/>
      <sheetName val="Fin_Perf_41"/>
      <sheetName val="SO_Credit_level_7_5_yr_40"/>
      <sheetName val="SO_Credit_level_7_10yr40"/>
      <sheetName val="SO_Credit_level_7_20yr_40"/>
      <sheetName val="SO_Credit_level_8_5_yr40"/>
      <sheetName val="SO_Credit_level_8_10yr40"/>
      <sheetName val="SO_Credit_level_8_20yr40"/>
      <sheetName val="Total_Company_ratio40"/>
      <sheetName val="Total_Company_Income40"/>
      <sheetName val="Total_Comapny_BS_CF40"/>
      <sheetName val="Total_Comapny_coverage_ratio_40"/>
      <sheetName val="SO_Credit_level_440"/>
      <sheetName val="SO_Credit_level_540"/>
      <sheetName val="Discounted_Cash_Flow_Model40"/>
      <sheetName val="O-1_(277)40"/>
      <sheetName val="O-1_(521)40"/>
      <sheetName val="O-1_(626)_40"/>
      <sheetName val="Regional_Simple_Averages40"/>
      <sheetName val="ERPs_by_country40"/>
      <sheetName val="List_of_TPEs39"/>
      <sheetName val="EX_I38"/>
      <sheetName val="4A_Unit_Costs38"/>
      <sheetName val="Expense_Categories38"/>
      <sheetName val="Dropdown_list38"/>
      <sheetName val="Iowa_Source_Data38"/>
      <sheetName val="Case_1B_-_138"/>
      <sheetName val="Data_Beta38"/>
      <sheetName val="SWE_Credit_Rating_Graph_6_28_38"/>
      <sheetName val="FAS_5_38"/>
      <sheetName val="Planned_2005_Spend_Analysis-A38"/>
      <sheetName val="LE_List38"/>
      <sheetName val="Hyperion_TB25"/>
      <sheetName val="6_-_Data_Validation25"/>
      <sheetName val="1999_BUDGET25"/>
      <sheetName val="(BVI)_IS25"/>
      <sheetName val="Moscow_060525"/>
      <sheetName val="Madrid_060525"/>
      <sheetName val="Stock_060525"/>
      <sheetName val="Frankfurt_060525"/>
      <sheetName val="Paris_060525"/>
      <sheetName val="Results_from_Nov_9825"/>
      <sheetName val="Co__670_HK25"/>
      <sheetName val="Fin_Perf_42"/>
      <sheetName val="SO_Credit_level_7_5_yr_41"/>
      <sheetName val="SO_Credit_level_7_10yr41"/>
      <sheetName val="SO_Credit_level_7_20yr_41"/>
      <sheetName val="SO_Credit_level_8_5_yr41"/>
      <sheetName val="SO_Credit_level_8_10yr41"/>
      <sheetName val="SO_Credit_level_8_20yr41"/>
      <sheetName val="Total_Company_ratio41"/>
      <sheetName val="Total_Company_Income41"/>
      <sheetName val="Total_Comapny_BS_CF41"/>
      <sheetName val="Total_Comapny_coverage_ratio_41"/>
      <sheetName val="SO_Credit_level_441"/>
      <sheetName val="SO_Credit_level_541"/>
      <sheetName val="Discounted_Cash_Flow_Model41"/>
      <sheetName val="O-1_(277)41"/>
      <sheetName val="O-1_(521)41"/>
      <sheetName val="O-1_(626)_41"/>
      <sheetName val="Regional_Simple_Averages41"/>
      <sheetName val="ERPs_by_country41"/>
      <sheetName val="List_of_TPEs40"/>
      <sheetName val="EX_I39"/>
      <sheetName val="4A_Unit_Costs39"/>
      <sheetName val="Expense_Categories39"/>
      <sheetName val="Dropdown_list39"/>
      <sheetName val="Iowa_Source_Data39"/>
      <sheetName val="Case_1B_-_139"/>
      <sheetName val="Data_Beta39"/>
      <sheetName val="SWE_Credit_Rating_Graph_6_28_39"/>
      <sheetName val="FAS_5_39"/>
      <sheetName val="Planned_2005_Spend_Analysis-A39"/>
      <sheetName val="LE_List39"/>
      <sheetName val="Hyperion_TB26"/>
      <sheetName val="6_-_Data_Validation26"/>
      <sheetName val="1999_BUDGET26"/>
      <sheetName val="(BVI)_IS26"/>
      <sheetName val="Moscow_060526"/>
      <sheetName val="Madrid_060526"/>
      <sheetName val="Stock_060526"/>
      <sheetName val="Frankfurt_060526"/>
      <sheetName val="Paris_060526"/>
      <sheetName val="Results_from_Nov_9826"/>
      <sheetName val="Co__670_HK26"/>
      <sheetName val="FIN-ANAL"/>
      <sheetName val="1_6_TRS_Data1"/>
      <sheetName val="Raleigh"/>
      <sheetName val="Other_Fixed_Costs"/>
      <sheetName val="Title"/>
      <sheetName val="VersionControl"/>
      <sheetName val="ToDo"/>
      <sheetName val="ModelMap"/>
      <sheetName val="ImplicitAssumptions"/>
      <sheetName val="ErrorChecks"/>
      <sheetName val="DATA_&gt;"/>
      <sheetName val="Fleet_Existing"/>
      <sheetName val="Fleet_Committed"/>
      <sheetName val="Fleet_Uncommitted"/>
      <sheetName val="AVITAS"/>
      <sheetName val="INPUTS_&gt;"/>
      <sheetName val="Global"/>
      <sheetName val="ScenarioInputs"/>
      <sheetName val="FleetAssumptions"/>
      <sheetName val="CALCULATIONS_&gt;"/>
      <sheetName val="Fleet"/>
      <sheetName val="TaxWorkings"/>
      <sheetName val="OUTPUT_&gt;"/>
      <sheetName val="LeaseCoFinStatments"/>
      <sheetName val="LeaseCoRatios"/>
      <sheetName val="LeaseCoVal"/>
      <sheetName val="LeaseCoAnalysis"/>
      <sheetName val="QantasImpact"/>
      <sheetName val="Graphs"/>
      <sheetName val="OuputTable_ALL"/>
      <sheetName val="OuputTable"/>
      <sheetName val="SCENARIO_ANALYSIS_&gt;"/>
      <sheetName val="ScenarioSummary"/>
      <sheetName val="Data_Dump"/>
      <sheetName val="Assumptions3"/>
      <sheetName val="CRITERIA1"/>
      <sheetName val="Other Fixed Costs"/>
      <sheetName val="DATA &gt;"/>
      <sheetName val="INPUTS &gt;"/>
      <sheetName val="CALCULATIONS &gt;"/>
      <sheetName val="OUTPUT &gt;"/>
      <sheetName val="SCENARIO ANALYSIS &gt;"/>
      <sheetName val="Data Dump"/>
      <sheetName val="目錄"/>
      <sheetName val="LAbor estimate"/>
      <sheetName val="ﾗｯｸ報告3"/>
      <sheetName val="pswzParams"/>
      <sheetName val="Size_Growth_Adj"/>
      <sheetName val="Common_IS"/>
      <sheetName val="Mult-LTM-1"/>
      <sheetName val="QUARTERLY PULP"/>
      <sheetName val="Surgical"/>
      <sheetName val="Fin_Perf_47"/>
      <sheetName val="SO_Credit_level_7_5_yr_46"/>
      <sheetName val="SO_Credit_level_7_10yr46"/>
      <sheetName val="SO_Credit_level_7_20yr_46"/>
      <sheetName val="SO_Credit_level_8_5_yr46"/>
      <sheetName val="SO_Credit_level_8_10yr46"/>
      <sheetName val="SO_Credit_level_8_20yr46"/>
      <sheetName val="Total_Company_ratio46"/>
      <sheetName val="Total_Company_Income46"/>
      <sheetName val="Total_Comapny_BS_CF46"/>
      <sheetName val="Total_Comapny_coverage_ratio_46"/>
      <sheetName val="SO_Credit_level_446"/>
      <sheetName val="SO_Credit_level_546"/>
      <sheetName val="Discounted_Cash_Flow_Model46"/>
      <sheetName val="O-1_(277)46"/>
      <sheetName val="O-1_(521)46"/>
      <sheetName val="O-1_(626)_46"/>
      <sheetName val="Regional_Simple_Averages46"/>
      <sheetName val="ERPs_by_country46"/>
      <sheetName val="List_of_TPEs45"/>
      <sheetName val="EX_I44"/>
      <sheetName val="4A_Unit_Costs44"/>
      <sheetName val="Expense_Categories44"/>
      <sheetName val="Dropdown_list44"/>
      <sheetName val="Iowa_Source_Data44"/>
      <sheetName val="Case_1B_-_144"/>
      <sheetName val="Data_Beta44"/>
      <sheetName val="SWE_Credit_Rating_Graph_6_28_44"/>
      <sheetName val="FAS_5_44"/>
      <sheetName val="Planned_2005_Spend_Analysis-A44"/>
      <sheetName val="LE_List44"/>
      <sheetName val="Hyperion_TB31"/>
      <sheetName val="6_-_Data_Validation31"/>
      <sheetName val="1999_BUDGET31"/>
      <sheetName val="(BVI)_IS31"/>
      <sheetName val="Moscow_060531"/>
      <sheetName val="Madrid_060531"/>
      <sheetName val="Stock_060531"/>
      <sheetName val="Frankfurt_060531"/>
      <sheetName val="Paris_060531"/>
      <sheetName val="Results_from_Nov_9831"/>
      <sheetName val="Co__670_HK31"/>
      <sheetName val="Fin_Perf_44"/>
      <sheetName val="SO_Credit_level_7_5_yr_43"/>
      <sheetName val="SO_Credit_level_7_10yr43"/>
      <sheetName val="SO_Credit_level_7_20yr_43"/>
      <sheetName val="SO_Credit_level_8_5_yr43"/>
      <sheetName val="SO_Credit_level_8_10yr43"/>
      <sheetName val="SO_Credit_level_8_20yr43"/>
      <sheetName val="Total_Company_ratio43"/>
      <sheetName val="Total_Company_Income43"/>
      <sheetName val="Total_Comapny_BS_CF43"/>
      <sheetName val="Total_Comapny_coverage_ratio_43"/>
      <sheetName val="SO_Credit_level_443"/>
      <sheetName val="SO_Credit_level_543"/>
      <sheetName val="Discounted_Cash_Flow_Model43"/>
      <sheetName val="O-1_(277)43"/>
      <sheetName val="O-1_(521)43"/>
      <sheetName val="O-1_(626)_43"/>
      <sheetName val="Regional_Simple_Averages43"/>
      <sheetName val="ERPs_by_country43"/>
      <sheetName val="List_of_TPEs42"/>
      <sheetName val="EX_I41"/>
      <sheetName val="4A_Unit_Costs41"/>
      <sheetName val="Expense_Categories41"/>
      <sheetName val="Dropdown_list41"/>
      <sheetName val="Iowa_Source_Data41"/>
      <sheetName val="Case_1B_-_141"/>
      <sheetName val="Data_Beta41"/>
      <sheetName val="SWE_Credit_Rating_Graph_6_28_41"/>
      <sheetName val="FAS_5_41"/>
      <sheetName val="Planned_2005_Spend_Analysis-A41"/>
      <sheetName val="LE_List41"/>
      <sheetName val="Hyperion_TB28"/>
      <sheetName val="6_-_Data_Validation28"/>
      <sheetName val="1999_BUDGET28"/>
      <sheetName val="(BVI)_IS28"/>
      <sheetName val="Moscow_060528"/>
      <sheetName val="Madrid_060528"/>
      <sheetName val="Stock_060528"/>
      <sheetName val="Frankfurt_060528"/>
      <sheetName val="Paris_060528"/>
      <sheetName val="Results_from_Nov_9828"/>
      <sheetName val="Co__670_HK28"/>
      <sheetName val="Fin_Perf_45"/>
      <sheetName val="SO_Credit_level_7_5_yr_44"/>
      <sheetName val="SO_Credit_level_7_10yr44"/>
      <sheetName val="SO_Credit_level_7_20yr_44"/>
      <sheetName val="SO_Credit_level_8_5_yr44"/>
      <sheetName val="SO_Credit_level_8_10yr44"/>
      <sheetName val="SO_Credit_level_8_20yr44"/>
      <sheetName val="Total_Company_ratio44"/>
      <sheetName val="Total_Company_Income44"/>
      <sheetName val="Total_Comapny_BS_CF44"/>
      <sheetName val="Total_Comapny_coverage_ratio_44"/>
      <sheetName val="SO_Credit_level_444"/>
      <sheetName val="SO_Credit_level_544"/>
      <sheetName val="Discounted_Cash_Flow_Model44"/>
      <sheetName val="O-1_(277)44"/>
      <sheetName val="O-1_(521)44"/>
      <sheetName val="O-1_(626)_44"/>
      <sheetName val="Regional_Simple_Averages44"/>
      <sheetName val="ERPs_by_country44"/>
      <sheetName val="List_of_TPEs43"/>
      <sheetName val="EX_I42"/>
      <sheetName val="4A_Unit_Costs42"/>
      <sheetName val="Expense_Categories42"/>
      <sheetName val="Dropdown_list42"/>
      <sheetName val="Iowa_Source_Data42"/>
      <sheetName val="Case_1B_-_142"/>
      <sheetName val="Data_Beta42"/>
      <sheetName val="SWE_Credit_Rating_Graph_6_28_42"/>
      <sheetName val="FAS_5_42"/>
      <sheetName val="Planned_2005_Spend_Analysis-A42"/>
      <sheetName val="LE_List42"/>
      <sheetName val="Hyperion_TB29"/>
      <sheetName val="6_-_Data_Validation29"/>
      <sheetName val="1999_BUDGET29"/>
      <sheetName val="(BVI)_IS29"/>
      <sheetName val="Moscow_060529"/>
      <sheetName val="Madrid_060529"/>
      <sheetName val="Stock_060529"/>
      <sheetName val="Frankfurt_060529"/>
      <sheetName val="Paris_060529"/>
      <sheetName val="Results_from_Nov_9829"/>
      <sheetName val="Co__670_HK29"/>
      <sheetName val="Fin_Perf_46"/>
      <sheetName val="SO_Credit_level_7_5_yr_45"/>
      <sheetName val="SO_Credit_level_7_10yr45"/>
      <sheetName val="SO_Credit_level_7_20yr_45"/>
      <sheetName val="SO_Credit_level_8_5_yr45"/>
      <sheetName val="SO_Credit_level_8_10yr45"/>
      <sheetName val="SO_Credit_level_8_20yr45"/>
      <sheetName val="Total_Company_ratio45"/>
      <sheetName val="Total_Company_Income45"/>
      <sheetName val="Total_Comapny_BS_CF45"/>
      <sheetName val="Total_Comapny_coverage_ratio_45"/>
      <sheetName val="SO_Credit_level_445"/>
      <sheetName val="SO_Credit_level_545"/>
      <sheetName val="Discounted_Cash_Flow_Model45"/>
      <sheetName val="O-1_(277)45"/>
      <sheetName val="O-1_(521)45"/>
      <sheetName val="O-1_(626)_45"/>
      <sheetName val="Regional_Simple_Averages45"/>
      <sheetName val="ERPs_by_country45"/>
      <sheetName val="List_of_TPEs44"/>
      <sheetName val="EX_I43"/>
      <sheetName val="4A_Unit_Costs43"/>
      <sheetName val="Expense_Categories43"/>
      <sheetName val="Dropdown_list43"/>
      <sheetName val="Iowa_Source_Data43"/>
      <sheetName val="Case_1B_-_143"/>
      <sheetName val="Data_Beta43"/>
      <sheetName val="SWE_Credit_Rating_Graph_6_28_43"/>
      <sheetName val="FAS_5_43"/>
      <sheetName val="Planned_2005_Spend_Analysis-A43"/>
      <sheetName val="LE_List43"/>
      <sheetName val="Hyperion_TB30"/>
      <sheetName val="6_-_Data_Validation30"/>
      <sheetName val="1999_BUDGET30"/>
      <sheetName val="(BVI)_IS30"/>
      <sheetName val="Moscow_060530"/>
      <sheetName val="Madrid_060530"/>
      <sheetName val="Stock_060530"/>
      <sheetName val="Frankfurt_060530"/>
      <sheetName val="Paris_060530"/>
      <sheetName val="Results_from_Nov_9830"/>
      <sheetName val="Co__670_HK30"/>
      <sheetName val="Fin_Perf_48"/>
      <sheetName val="SO_Credit_level_7_5_yr_47"/>
      <sheetName val="SO_Credit_level_7_10yr47"/>
      <sheetName val="SO_Credit_level_7_20yr_47"/>
      <sheetName val="SO_Credit_level_8_5_yr47"/>
      <sheetName val="SO_Credit_level_8_10yr47"/>
      <sheetName val="SO_Credit_level_8_20yr47"/>
      <sheetName val="Total_Company_ratio47"/>
      <sheetName val="Total_Company_Income47"/>
      <sheetName val="Total_Comapny_BS_CF47"/>
      <sheetName val="Total_Comapny_coverage_ratio_47"/>
      <sheetName val="SO_Credit_level_447"/>
      <sheetName val="SO_Credit_level_547"/>
      <sheetName val="Discounted_Cash_Flow_Model47"/>
      <sheetName val="O-1_(277)47"/>
      <sheetName val="O-1_(521)47"/>
      <sheetName val="O-1_(626)_47"/>
      <sheetName val="Regional_Simple_Averages47"/>
      <sheetName val="ERPs_by_country47"/>
      <sheetName val="List_of_TPEs46"/>
      <sheetName val="EX_I45"/>
      <sheetName val="4A_Unit_Costs45"/>
      <sheetName val="Expense_Categories45"/>
      <sheetName val="Dropdown_list45"/>
      <sheetName val="Iowa_Source_Data45"/>
      <sheetName val="Case_1B_-_145"/>
      <sheetName val="Data_Beta45"/>
      <sheetName val="SWE_Credit_Rating_Graph_6_28_45"/>
      <sheetName val="FAS_5_45"/>
      <sheetName val="Planned_2005_Spend_Analysis-A45"/>
      <sheetName val="LE_List45"/>
      <sheetName val="Hyperion_TB32"/>
      <sheetName val="6_-_Data_Validation32"/>
      <sheetName val="1999_BUDGET32"/>
      <sheetName val="(BVI)_IS32"/>
      <sheetName val="Moscow_060532"/>
      <sheetName val="Madrid_060532"/>
      <sheetName val="Stock_060532"/>
      <sheetName val="Frankfurt_060532"/>
      <sheetName val="Paris_060532"/>
      <sheetName val="Results_from_Nov_9832"/>
      <sheetName val="Co__670_HK32"/>
      <sheetName val="Fin_Perf_49"/>
      <sheetName val="SO_Credit_level_7_5_yr_48"/>
      <sheetName val="SO_Credit_level_7_10yr48"/>
      <sheetName val="SO_Credit_level_7_20yr_48"/>
      <sheetName val="SO_Credit_level_8_5_yr48"/>
      <sheetName val="SO_Credit_level_8_10yr48"/>
      <sheetName val="SO_Credit_level_8_20yr48"/>
      <sheetName val="Total_Company_ratio48"/>
      <sheetName val="Total_Company_Income48"/>
      <sheetName val="Total_Comapny_BS_CF48"/>
      <sheetName val="Total_Comapny_coverage_ratio_48"/>
      <sheetName val="SO_Credit_level_448"/>
      <sheetName val="SO_Credit_level_548"/>
      <sheetName val="Discounted_Cash_Flow_Model48"/>
      <sheetName val="O-1_(277)48"/>
      <sheetName val="O-1_(521)48"/>
      <sheetName val="O-1_(626)_48"/>
      <sheetName val="Regional_Simple_Averages48"/>
      <sheetName val="ERPs_by_country48"/>
      <sheetName val="List_of_TPEs47"/>
      <sheetName val="EX_I46"/>
      <sheetName val="4A_Unit_Costs46"/>
      <sheetName val="Expense_Categories46"/>
      <sheetName val="Dropdown_list46"/>
      <sheetName val="Iowa_Source_Data46"/>
      <sheetName val="Case_1B_-_146"/>
      <sheetName val="Data_Beta46"/>
      <sheetName val="SWE_Credit_Rating_Graph_6_28_46"/>
      <sheetName val="FAS_5_46"/>
      <sheetName val="Planned_2005_Spend_Analysis-A46"/>
      <sheetName val="LE_List46"/>
      <sheetName val="Hyperion_TB33"/>
      <sheetName val="6_-_Data_Validation33"/>
      <sheetName val="1999_BUDGET33"/>
      <sheetName val="(BVI)_IS33"/>
      <sheetName val="Moscow_060533"/>
      <sheetName val="Madrid_060533"/>
      <sheetName val="Stock_060533"/>
      <sheetName val="Frankfurt_060533"/>
      <sheetName val="Paris_060533"/>
      <sheetName val="Results_from_Nov_9833"/>
      <sheetName val="Co__670_HK33"/>
      <sheetName val="SBPivotTableSelections"/>
      <sheetName val="SBIniPivotTable"/>
      <sheetName val="0 - Adjustment Upload Templ (3)"/>
      <sheetName val="3.3a | 1Q'19 E_1004 Assets"/>
      <sheetName val="3.3b | 1Q'19 E_1004 Liab"/>
      <sheetName val="3.13 | 1Q'19 E_3024"/>
      <sheetName val="Graph 1"/>
      <sheetName val="Valuation Characteristics"/>
      <sheetName val="212101"/>
      <sheetName val="办事处经费"/>
      <sheetName val="办事处市场部经费"/>
      <sheetName val="营销人员借款"/>
      <sheetName val="离职营销人员借款"/>
      <sheetName val="公司备用金"/>
      <sheetName val="律师"/>
      <sheetName val="K200-PRC"/>
      <sheetName val="NI"/>
      <sheetName val="P&amp;L By Division"/>
      <sheetName val="ROI"/>
      <sheetName val="UK-APGN"/>
      <sheetName val="US-NE"/>
      <sheetName val="US-SE"/>
      <sheetName val="US-Midwest"/>
      <sheetName val="US-GP"/>
      <sheetName val="Project Stone"/>
      <sheetName val="Dealer"/>
      <sheetName val="FuelCard"/>
      <sheetName val="FuelTerminal"/>
      <sheetName val="US - CT"/>
      <sheetName val="US-NYSTA"/>
      <sheetName val="P&amp;L_By_Division"/>
      <sheetName val="Project_Stone"/>
      <sheetName val="US_-_CT"/>
      <sheetName val="P&amp;L_By_Division1"/>
      <sheetName val="Project_Stone1"/>
      <sheetName val="US_-_CT1"/>
      <sheetName val="P&amp;L_By_Division2"/>
      <sheetName val="Project_Stone2"/>
      <sheetName val="US_-_CT2"/>
      <sheetName val="P&amp;L_By_Division3"/>
      <sheetName val="Project_Stone3"/>
      <sheetName val="US_-_CT3"/>
      <sheetName val="Input"/>
      <sheetName val="Asmp"/>
      <sheetName val="Earnings"/>
      <sheetName val="Transinputs"/>
      <sheetName val="Target"/>
      <sheetName val="Acquiror"/>
      <sheetName val="Data SRL"/>
      <sheetName val="Data Prod_Graf"/>
      <sheetName val="PK RM"/>
      <sheetName val="Summary vs Budget"/>
      <sheetName val="ヘッジ比率(月次)"/>
      <sheetName val="Comp. Transaction"/>
      <sheetName val="DE01_SuSa_2019"/>
      <sheetName val="Valuation 2018"/>
      <sheetName val="Vorl Abschluss 2019"/>
      <sheetName val="SAP_2019"/>
      <sheetName val="Drop Down"/>
      <sheetName val="Rates (Spot can be updated)"/>
      <sheetName val="HC_2009_Alpha"/>
      <sheetName val="Rollforward_241605-2021"/>
      <sheetName val="SLIP"/>
      <sheetName val="extra3"/>
      <sheetName val="extra"/>
      <sheetName val="Desc"/>
      <sheetName val="Liste"/>
      <sheetName val="Key Revenue Assumptions"/>
      <sheetName val="Stock Performance Backup"/>
      <sheetName val="Detail"/>
      <sheetName val="GAAP eps"/>
      <sheetName val="list type intl"/>
      <sheetName val="BU Summary Data"/>
      <sheetName val="QOS Graph"/>
      <sheetName val="Est P&amp;L"/>
      <sheetName val="其他应付"/>
      <sheetName val="其他应收"/>
      <sheetName val="A300"/>
      <sheetName val="河北肃宁"/>
      <sheetName val="目录"/>
      <sheetName val="敏感性"/>
      <sheetName val="电子库龄"/>
      <sheetName val="TOOLS"/>
      <sheetName val=" FY2000"/>
      <sheetName val="TASSI2"/>
      <sheetName val="Tav.22 Rischio di Credito"/>
      <sheetName val="bank"/>
      <sheetName val="A.R 01"/>
      <sheetName val="CUSTOMER (DETAIL)"/>
      <sheetName val="PROCESS"/>
      <sheetName val="基本情報"/>
      <sheetName val="master"/>
      <sheetName val="Group"/>
      <sheetName val="#REF"/>
      <sheetName val="Calculation"/>
      <sheetName val="DIOH"/>
      <sheetName val="Formulas"/>
      <sheetName val="ADELPHIA"/>
      <sheetName val="HFM Capex 13"/>
      <sheetName val="HFM Capex 14"/>
      <sheetName val="Share price data"/>
      <sheetName val="DCF"/>
      <sheetName val="Company Desc"/>
      <sheetName val="96BP"/>
      <sheetName val="Setup 4-Ptr Info"/>
      <sheetName val="Inputs_&gt;&gt;5"/>
      <sheetName val="D)_Trial_Balance5"/>
      <sheetName val="Index_sheet5"/>
      <sheetName val="Nature_&amp;_Type_Lists5"/>
      <sheetName val="E1_Debtors_ATB5"/>
      <sheetName val="ADDT_DEPR5"/>
      <sheetName val="Closing_Statement5"/>
      <sheetName val="1_6_TRS_Data5"/>
      <sheetName val="Peer's_Charged_Offs5"/>
      <sheetName val="Net_Working_Capital5"/>
      <sheetName val="AR_5"/>
      <sheetName val="Submission_CW6"/>
      <sheetName val="OTR_Walk6"/>
      <sheetName val="OP_Walk6"/>
      <sheetName val="HQ_Pivot6"/>
      <sheetName val="HQ_Pacing6"/>
      <sheetName val="MYA_S=O_&amp;_CO6"/>
      <sheetName val="1995_Cellular6"/>
      <sheetName val="Data_Validation5"/>
      <sheetName val="875_ACC5"/>
      <sheetName val="Performance_Cases4"/>
      <sheetName val="Asset_Strategy4"/>
      <sheetName val="Patent_Raw_Data4"/>
      <sheetName val="Plan_P&amp;L4"/>
      <sheetName val="PERIOD_MIX3"/>
      <sheetName val="YTD_MIX3"/>
      <sheetName val="cson_&amp;_cgen3"/>
      <sheetName val="Exhibit_V3"/>
      <sheetName val="F_13a_PBC_Prepaid3"/>
      <sheetName val="_3"/>
      <sheetName val="Inputs_&gt;&gt;2"/>
      <sheetName val="D)_Trial_Balance2"/>
      <sheetName val="Index_sheet2"/>
      <sheetName val="Nature_&amp;_Type_Lists2"/>
      <sheetName val="E1_Debtors_ATB2"/>
      <sheetName val="ADDT_DEPR2"/>
      <sheetName val="Closing_Statement2"/>
      <sheetName val="Peer's_Charged_Offs2"/>
      <sheetName val="Net_Working_Capital2"/>
      <sheetName val="AR_2"/>
      <sheetName val="Data_Validation2"/>
      <sheetName val="875_ACC2"/>
      <sheetName val="Inputs_&gt;&gt;3"/>
      <sheetName val="D)_Trial_Balance3"/>
      <sheetName val="Index_sheet3"/>
      <sheetName val="Nature_&amp;_Type_Lists3"/>
      <sheetName val="E1_Debtors_ATB3"/>
      <sheetName val="ADDT_DEPR3"/>
      <sheetName val="Closing_Statement3"/>
      <sheetName val="1_6_TRS_Data3"/>
      <sheetName val="Peer's_Charged_Offs3"/>
      <sheetName val="Net_Working_Capital3"/>
      <sheetName val="AR_3"/>
      <sheetName val="Submission_CW4"/>
      <sheetName val="OTR_Walk4"/>
      <sheetName val="OP_Walk4"/>
      <sheetName val="HQ_Pivot4"/>
      <sheetName val="HQ_Pacing4"/>
      <sheetName val="MYA_S=O_&amp;_CO4"/>
      <sheetName val="1995_Cellular4"/>
      <sheetName val="Data_Validation3"/>
      <sheetName val="875_ACC3"/>
      <sheetName val="Performance_Cases2"/>
      <sheetName val="Asset_Strategy2"/>
      <sheetName val="Patent_Raw_Data2"/>
      <sheetName val="Plan_P&amp;L2"/>
      <sheetName val="PERIOD_MIX1"/>
      <sheetName val="YTD_MIX1"/>
      <sheetName val="cson_&amp;_cgen1"/>
      <sheetName val="Exhibit_V1"/>
      <sheetName val="F_13a_PBC_Prepaid1"/>
      <sheetName val="_1"/>
      <sheetName val="Inputs_&gt;&gt;4"/>
      <sheetName val="D)_Trial_Balance4"/>
      <sheetName val="Index_sheet4"/>
      <sheetName val="Nature_&amp;_Type_Lists4"/>
      <sheetName val="E1_Debtors_ATB4"/>
      <sheetName val="ADDT_DEPR4"/>
      <sheetName val="Closing_Statement4"/>
      <sheetName val="1_6_TRS_Data4"/>
      <sheetName val="Peer's_Charged_Offs4"/>
      <sheetName val="Net_Working_Capital4"/>
      <sheetName val="AR_4"/>
      <sheetName val="Submission_CW5"/>
      <sheetName val="OTR_Walk5"/>
      <sheetName val="OP_Walk5"/>
      <sheetName val="HQ_Pivot5"/>
      <sheetName val="HQ_Pacing5"/>
      <sheetName val="MYA_S=O_&amp;_CO5"/>
      <sheetName val="1995_Cellular5"/>
      <sheetName val="Data_Validation4"/>
      <sheetName val="875_ACC4"/>
      <sheetName val="Performance_Cases3"/>
      <sheetName val="Asset_Strategy3"/>
      <sheetName val="Patent_Raw_Data3"/>
      <sheetName val="Plan_P&amp;L3"/>
      <sheetName val="PERIOD_MIX2"/>
      <sheetName val="YTD_MIX2"/>
      <sheetName val="cson_&amp;_cgen2"/>
      <sheetName val="Exhibit_V2"/>
      <sheetName val="F_13a_PBC_Prepaid2"/>
      <sheetName val="_2"/>
      <sheetName val="Fin_Perf_50"/>
      <sheetName val="SO_Credit_level_7_5_yr_49"/>
      <sheetName val="SO_Credit_level_7_10yr49"/>
      <sheetName val="SO_Credit_level_7_20yr_49"/>
      <sheetName val="SO_Credit_level_8_5_yr49"/>
      <sheetName val="SO_Credit_level_8_10yr49"/>
      <sheetName val="SO_Credit_level_8_20yr49"/>
      <sheetName val="Total_Company_ratio49"/>
      <sheetName val="Total_Company_Income49"/>
      <sheetName val="Total_Comapny_BS_CF49"/>
      <sheetName val="Total_Comapny_coverage_ratio_49"/>
      <sheetName val="SO_Credit_level_449"/>
      <sheetName val="SO_Credit_level_549"/>
      <sheetName val="Discounted_Cash_Flow_Model49"/>
      <sheetName val="O-1_(277)49"/>
      <sheetName val="O-1_(521)49"/>
      <sheetName val="O-1_(626)_49"/>
      <sheetName val="Regional_Simple_Averages49"/>
      <sheetName val="ERPs_by_country49"/>
      <sheetName val="List_of_TPEs48"/>
      <sheetName val="EX_I47"/>
      <sheetName val="4A_Unit_Costs47"/>
      <sheetName val="Dropdown_list47"/>
      <sheetName val="Expense_Categories47"/>
      <sheetName val="Iowa_Source_Data47"/>
      <sheetName val="Case_1B_-_147"/>
      <sheetName val="SWE_Credit_Rating_Graph_6_28_47"/>
      <sheetName val="Data_Beta47"/>
      <sheetName val="FAS_5_47"/>
      <sheetName val="Planned_2005_Spend_Analysis-A47"/>
      <sheetName val="LE_List47"/>
      <sheetName val="Hyperion_TB34"/>
      <sheetName val="(BVI)_IS34"/>
      <sheetName val="1999_BUDGET34"/>
      <sheetName val="6_-_Data_Validation34"/>
      <sheetName val="Moscow_060534"/>
      <sheetName val="Madrid_060534"/>
      <sheetName val="Stock_060534"/>
      <sheetName val="Frankfurt_060534"/>
      <sheetName val="Paris_060534"/>
      <sheetName val="Results_from_Nov_9834"/>
      <sheetName val="Co__670_HK34"/>
      <sheetName val="Inputs_&gt;&gt;6"/>
      <sheetName val="D)_Trial_Balance6"/>
      <sheetName val="Index_sheet6"/>
      <sheetName val="Nature_&amp;_Type_Lists6"/>
      <sheetName val="E1_Debtors_ATB6"/>
      <sheetName val="ADDT_DEPR6"/>
      <sheetName val="Closing_Statement6"/>
      <sheetName val="1_6_TRS_Data6"/>
      <sheetName val="Peer's_Charged_Offs6"/>
      <sheetName val="Net_Working_Capital6"/>
      <sheetName val="AR_6"/>
      <sheetName val="Submission_CW7"/>
      <sheetName val="OTR_Walk7"/>
      <sheetName val="OP_Walk7"/>
      <sheetName val="HQ_Pivot7"/>
      <sheetName val="HQ_Pacing7"/>
      <sheetName val="MYA_S=O_&amp;_CO7"/>
      <sheetName val="1995_Cellular7"/>
      <sheetName val="Data_Validation6"/>
      <sheetName val="875_ACC6"/>
      <sheetName val="Performance_Cases5"/>
      <sheetName val="Asset_Strategy5"/>
      <sheetName val="Patent_Raw_Data5"/>
      <sheetName val="Plan_P&amp;L5"/>
      <sheetName val="PERIOD_MIX4"/>
      <sheetName val="YTD_MIX4"/>
      <sheetName val="cson_&amp;_cgen4"/>
      <sheetName val="Exhibit_V4"/>
      <sheetName val="F_13a_PBC_Prepaid4"/>
      <sheetName val="_4"/>
      <sheetName val="Other_Fixed_Costs1"/>
      <sheetName val="DATA_&gt;1"/>
      <sheetName val="INPUTS_&gt;1"/>
      <sheetName val="CALCULATIONS_&gt;1"/>
      <sheetName val="OUTPUT_&gt;1"/>
      <sheetName val="SCENARIO_ANALYSIS_&gt;1"/>
      <sheetName val="Data_Dump1"/>
      <sheetName val="LAbor_estimate"/>
      <sheetName val="QUARTERLY_PULP"/>
      <sheetName val="0_-_Adjustment_Upload_Templ_(3)"/>
      <sheetName val="3_3a_|_1Q'19_E_1004_Assets"/>
      <sheetName val="3_3b_|_1Q'19_E_1004_Liab"/>
      <sheetName val="3_13_|_1Q'19_E_3024"/>
      <sheetName val="Graph_1"/>
      <sheetName val="Valuation_Characteristics"/>
      <sheetName val="P&amp;L_By_Division4"/>
      <sheetName val="Project_Stone4"/>
      <sheetName val="US_-_CT4"/>
      <sheetName val="Data_SRL"/>
      <sheetName val="Data_Prod_Graf"/>
      <sheetName val="PK_RM"/>
      <sheetName val="Summary_vs_Budget"/>
      <sheetName val="Comp__Transaction"/>
      <sheetName val="Valuation_2018"/>
      <sheetName val="Vorl_Abschluss_2019"/>
      <sheetName val="Drop_Down"/>
      <sheetName val="Rates_(Spot_can_be_updated)"/>
      <sheetName val="Key_Revenue_Assumptions"/>
      <sheetName val="Stock_Performance_Backup"/>
      <sheetName val="GAAP_eps"/>
      <sheetName val="list_type_intl"/>
      <sheetName val="BU_Summary_Data"/>
      <sheetName val="QOS_Graph"/>
      <sheetName val="Est_P&amp;L"/>
      <sheetName val="_FY2000"/>
      <sheetName val="Tav_22_Rischio_di_Credito"/>
      <sheetName val="A_R_01"/>
      <sheetName val="CUSTOMER_(DETAIL)"/>
      <sheetName val="HFM_Capex_13"/>
      <sheetName val="HFM_Capex_14"/>
      <sheetName val="Share_price_data"/>
      <sheetName val="Company_Desc"/>
      <sheetName val="Setup_4-Ptr_Info"/>
      <sheetName val="社員リスト"/>
      <sheetName val="FSC"/>
      <sheetName val="Actual"/>
      <sheetName val="Budget"/>
      <sheetName val="YTD Totals"/>
      <sheetName val="Corporate Info"/>
      <sheetName val="Stock - Sch 5A-5C"/>
      <sheetName val="Net Inc"/>
      <sheetName val="P"/>
      <sheetName val="Nonint Inc"/>
      <sheetName val="Presentation Data"/>
      <sheetName val="DK TRD"/>
      <sheetName val="LCGRAPH"/>
      <sheetName val="SUM"/>
      <sheetName val="sum analyst privat asm old"/>
      <sheetName val="sum method"/>
      <sheetName val="PSBU Graph Data"/>
      <sheetName val="U"/>
      <sheetName val="List Data"/>
      <sheetName val="wtrexcess"/>
      <sheetName val="ESTWATER"/>
      <sheetName val="2021-09"/>
      <sheetName val="Mgmt Deck Q1"/>
      <sheetName val="Mgmt Deck Q2"/>
      <sheetName val="Q1 2021"/>
      <sheetName val="Q2 2021"/>
      <sheetName val="Temps_USD"/>
      <sheetName val="SCB 1 - Current"/>
      <sheetName val="SCB 2 - Current"/>
      <sheetName val="USGC"/>
      <sheetName val="HOSPICE OPSUM"/>
      <sheetName val="基準価格"/>
      <sheetName val="MOTO"/>
      <sheetName val="Margins"/>
      <sheetName val="上报资产负债表"/>
      <sheetName val="上报损益表"/>
      <sheetName val="现金流量表（月报）"/>
      <sheetName val="补充表"/>
      <sheetName val="BY CLASS"/>
      <sheetName val="MR21"/>
      <sheetName val="Vlookup"/>
      <sheetName val="Reserves"/>
      <sheetName val="263A-1"/>
      <sheetName val="Net_Inc"/>
      <sheetName val="Nonint_Inc"/>
      <sheetName val="1b.2 Consol TB"/>
      <sheetName val="Descending list"/>
      <sheetName val="Invested capital_VDF"/>
      <sheetName val="NOPAT_VDF"/>
      <sheetName val="Inputs"/>
      <sheetName val="QUARTER"/>
      <sheetName val="Ocean"/>
      <sheetName val="S Amer"/>
      <sheetName val="W Eur"/>
      <sheetName val="Africa"/>
      <sheetName val="C Amer"/>
      <sheetName val="E Eur"/>
      <sheetName val="E Asia"/>
      <sheetName val="Mideast"/>
      <sheetName val="CRITERIA"/>
      <sheetName val="Report"/>
      <sheetName val="sales vol."/>
      <sheetName val="oldSEG"/>
      <sheetName val="Quarters"/>
      <sheetName val="Returns&gt;&gt;"/>
      <sheetName val="IRR Historic"/>
      <sheetName val="Portfolio IRR"/>
      <sheetName val="Marimekko"/>
      <sheetName val="Inputs&gt;&gt;"/>
      <sheetName val="Analyst&gt;&gt;"/>
      <sheetName val="Val Inputs"/>
      <sheetName val="Model Inputs"/>
      <sheetName val="2_AC"/>
      <sheetName val="3_AC"/>
      <sheetName val="4_AC"/>
      <sheetName val="5_AC"/>
      <sheetName val="6_AC"/>
      <sheetName val="7_AC"/>
      <sheetName val="8_AC"/>
      <sheetName val="9_AC"/>
      <sheetName val="10_AC"/>
      <sheetName val="11_AC"/>
      <sheetName val="12_AC"/>
      <sheetName val="13_AC"/>
      <sheetName val="14_AC"/>
      <sheetName val="Exchange Rates&gt;&gt;"/>
      <sheetName val="1"/>
      <sheetName val="2"/>
      <sheetName val="3"/>
      <sheetName val="4"/>
      <sheetName val="Funding&gt;&gt;"/>
      <sheetName val="Years"/>
      <sheetName val="Funding Combined"/>
      <sheetName val="Q1"/>
      <sheetName val="Q2"/>
      <sheetName val="Q3"/>
      <sheetName val="Q4"/>
      <sheetName val="FY18 funding"/>
      <sheetName val="Previous"/>
      <sheetName val="iFood funding"/>
      <sheetName val="Conversions&gt;&gt;"/>
      <sheetName val="Summary Adjusted"/>
      <sheetName val="Summary Combined"/>
      <sheetName val="Conversion Roll forward"/>
      <sheetName val="Summary Roll Forward"/>
      <sheetName val="Conversion DCF"/>
      <sheetName val="Summary DCF"/>
      <sheetName val="Conversion Cash Flow"/>
      <sheetName val="Summary Cash Flow"/>
      <sheetName val="Variables&gt;&gt;"/>
      <sheetName val="Companies"/>
      <sheetName val="Company Name mappings"/>
      <sheetName val="End"/>
      <sheetName val="IRR_Historic"/>
      <sheetName val="Portfolio_IRR"/>
      <sheetName val="Val_Inputs"/>
      <sheetName val="Model_Inputs"/>
      <sheetName val="Exchange_Rates&gt;&gt;"/>
      <sheetName val="Funding_Combined"/>
      <sheetName val="FY18_funding"/>
      <sheetName val="iFood_funding"/>
      <sheetName val="Summary_Adjusted"/>
      <sheetName val="Summary_Combined"/>
      <sheetName val="Conversion_Roll_forward"/>
      <sheetName val="Summary_Roll_Forward"/>
      <sheetName val="Conversion_DCF"/>
      <sheetName val="Summary_DCF"/>
      <sheetName val="Conversion_Cash_Flow"/>
      <sheetName val="Summary_Cash_Flow"/>
      <sheetName val="Company_Name_mappings"/>
      <sheetName val="ACUMULADO"/>
      <sheetName val="BSAssociated"/>
      <sheetName val="AOP Summary-2"/>
      <sheetName val="Schedule"/>
      <sheetName val="Assumptions"/>
      <sheetName val="Header"/>
      <sheetName val="SC by pn"/>
      <sheetName val="Pac Ext"/>
      <sheetName val="RefG"/>
      <sheetName val="DOH TOTAL"/>
      <sheetName val="RF"/>
      <sheetName val="Q of E"/>
      <sheetName val="suivi cash flow par affaire"/>
      <sheetName val="IDRT_RATES"/>
      <sheetName val="Fin_Perf_51"/>
      <sheetName val="SO_Credit_level_7_5_yr_50"/>
      <sheetName val="SO_Credit_level_7_10yr50"/>
      <sheetName val="SO_Credit_level_7_20yr_50"/>
      <sheetName val="SO_Credit_level_8_5_yr50"/>
      <sheetName val="SO_Credit_level_8_10yr50"/>
      <sheetName val="SO_Credit_level_8_20yr50"/>
      <sheetName val="Total_Company_ratio50"/>
      <sheetName val="Total_Company_Income50"/>
      <sheetName val="Total_Comapny_BS_CF50"/>
      <sheetName val="Total_Comapny_coverage_ratio_50"/>
      <sheetName val="SO_Credit_level_450"/>
      <sheetName val="SO_Credit_level_550"/>
      <sheetName val="Discounted_Cash_Flow_Model50"/>
      <sheetName val="O-1_(277)50"/>
      <sheetName val="O-1_(521)50"/>
      <sheetName val="O-1_(626)_50"/>
      <sheetName val="Regional_Simple_Averages50"/>
      <sheetName val="ERPs_by_country50"/>
      <sheetName val="List_of_TPEs49"/>
      <sheetName val="EX_I48"/>
      <sheetName val="4A_Unit_Costs48"/>
      <sheetName val="Expense_Categories48"/>
      <sheetName val="Dropdown_list48"/>
      <sheetName val="Iowa_Source_Data48"/>
      <sheetName val="Case_1B_-_148"/>
      <sheetName val="Data_Beta48"/>
      <sheetName val="SWE_Credit_Rating_Graph_6_28_48"/>
      <sheetName val="FAS_5_48"/>
      <sheetName val="Planned_2005_Spend_Analysis-A48"/>
      <sheetName val="LE_List48"/>
      <sheetName val="Hyperion_TB35"/>
      <sheetName val="6_-_Data_Validation35"/>
      <sheetName val="1999_BUDGET35"/>
      <sheetName val="(BVI)_IS35"/>
      <sheetName val="Moscow_060535"/>
      <sheetName val="Madrid_060535"/>
      <sheetName val="Stock_060535"/>
      <sheetName val="Frankfurt_060535"/>
      <sheetName val="Paris_060535"/>
      <sheetName val="Results_from_Nov_9835"/>
      <sheetName val="Co__670_HK35"/>
      <sheetName val="TO DO LIST"/>
      <sheetName val="personal"/>
      <sheetName val="LOTE1"/>
      <sheetName val="PLAN"/>
      <sheetName val="Membrete"/>
      <sheetName val="Hoja1"/>
      <sheetName val="IC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/>
      <sheetData sheetId="214"/>
      <sheetData sheetId="215"/>
      <sheetData sheetId="216"/>
      <sheetData sheetId="217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 refreshError="1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/>
      <sheetData sheetId="938" refreshError="1"/>
      <sheetData sheetId="939" refreshError="1"/>
      <sheetData sheetId="940" refreshError="1"/>
      <sheetData sheetId="941" refreshError="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 refreshError="1"/>
      <sheetData sheetId="1835"/>
      <sheetData sheetId="1836" refreshError="1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 refreshError="1"/>
      <sheetData sheetId="1869" refreshError="1"/>
      <sheetData sheetId="1870" refreshError="1"/>
      <sheetData sheetId="1871"/>
      <sheetData sheetId="1872"/>
      <sheetData sheetId="1873"/>
      <sheetData sheetId="1874"/>
      <sheetData sheetId="1875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/>
      <sheetData sheetId="1885" refreshError="1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/>
      <sheetData sheetId="2504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falto"/>
      <sheetName val="Barras"/>
      <sheetName val="Drop-Down"/>
      <sheetName val="EXPLOT AGUA PVC"/>
      <sheetName val="mn"/>
      <sheetName val="Lookups"/>
      <sheetName val="Dropdown"/>
      <sheetName val="Legend"/>
      <sheetName val="EXPLOT_AGUA_PVC"/>
      <sheetName val="EXPLOT_AGUA_PVC1"/>
      <sheetName val="List"/>
      <sheetName val="LookUp"/>
      <sheetName val="Risk"/>
      <sheetName val="EXPLOT_AGUA_PVC2"/>
      <sheetName val="EXPLOT_AGUA_PVC3"/>
      <sheetName val="EXPLOT_AGUA_PVC4"/>
      <sheetName val="EXPLOT_AGUA_PVC5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pre"/>
      <sheetName val="c3_ fto"/>
      <sheetName val="C3 Base Tran"/>
      <sheetName val="pbg pbgpc "/>
      <sheetName val="pbg1 pbg2 pbg3"/>
      <sheetName val="vab rem"/>
      <sheetName val="ex"/>
      <sheetName val="pre1_4"/>
      <sheetName val="Par"/>
      <sheetName val="WCOL INDEX"/>
      <sheetName val="WCOL INPUT"/>
      <sheetName val="MK 244"/>
      <sheetName val="Fungicide"/>
      <sheetName val="Others"/>
      <sheetName val="Thiabendazole"/>
      <sheetName val="Validate List"/>
      <sheetName val="Share Price 2002"/>
      <sheetName val="DT 1999 (abst. from model)"/>
      <sheetName val="COMPS"/>
      <sheetName val="lists"/>
      <sheetName val="Parameters"/>
      <sheetName val="Step2_Histogram"/>
      <sheetName val="Plan1"/>
      <sheetName val="Cost Elements to Use"/>
      <sheetName val="IRR"/>
      <sheetName val="Base &amp; LBO Assumptions"/>
      <sheetName val="JAII Income"/>
      <sheetName val="Holding Page"/>
      <sheetName val="JAII Balance"/>
      <sheetName val="Sensitivity Data"/>
      <sheetName val="Named_Ranges"/>
      <sheetName val="Sales Seasonality by Month"/>
      <sheetName val="MODELO"/>
      <sheetName val="Custos"/>
      <sheetName val="Gauge"/>
      <sheetName val="FRA"/>
      <sheetName val="COUPOM"/>
      <sheetName val="Financials"/>
      <sheetName val="EI Calc"/>
      <sheetName val="Dados BLP"/>
      <sheetName val="Months and Countries"/>
      <sheetName val="validation"/>
      <sheetName val="DB2002"/>
      <sheetName val="Sheet3"/>
      <sheetName val="Distribución D"/>
      <sheetName val="FX rates"/>
      <sheetName val="SAP Budget by Contain_Loc"/>
      <sheetName val="variable"/>
      <sheetName val="GRALES"/>
      <sheetName val="COTAÇÕES"/>
      <sheetName val="Qui"/>
      <sheetName val="BLP"/>
      <sheetName val="DrillDown"/>
      <sheetName val="FinanceSummary"/>
      <sheetName val="Sheet2"/>
      <sheetName val="bud99"/>
      <sheetName val="Projects list"/>
      <sheetName val="Prod2001"/>
      <sheetName val="Target Book"/>
      <sheetName val="Volumen"/>
      <sheetName val="Données LMU"/>
      <sheetName val="Brainstorming1"/>
      <sheetName val="Brazil Sovereign"/>
      <sheetName val="Constants"/>
      <sheetName val="NIUs"/>
      <sheetName val="capex"/>
      <sheetName val="Sheet1"/>
      <sheetName val="MOL"/>
      <sheetName val="list"/>
      <sheetName val="dep_pre"/>
      <sheetName val="c3__fto"/>
      <sheetName val="C3_Base_Tran"/>
      <sheetName val="pbg_pbgpc_"/>
      <sheetName val="pbg1_pbg2_pbg3"/>
      <sheetName val="vab_rem"/>
      <sheetName val="WCOL_INDEX"/>
      <sheetName val="WCOL_INPUT"/>
      <sheetName val="Validate_List"/>
      <sheetName val="Share_Price_2002"/>
      <sheetName val="DT_1999_(abst__from_model)"/>
      <sheetName val="Cost_Elements_to_Use"/>
      <sheetName val="MK_244"/>
      <sheetName val="Sales_Seasonality_by_Month"/>
      <sheetName val="Base_&amp;_LBO_Assumptions"/>
      <sheetName val="JAII_Income"/>
      <sheetName val="Holding_Page"/>
      <sheetName val="JAII_Balance"/>
      <sheetName val="Sensitivity_Data"/>
      <sheetName val="EI_Calc"/>
      <sheetName val="Dados_BLP"/>
      <sheetName val="Months_and_Countries"/>
      <sheetName val="Distribución_D"/>
      <sheetName val="FX_rates"/>
      <sheetName val="Projects_list"/>
      <sheetName val="Target_Book"/>
      <sheetName val="Données_LMU"/>
      <sheetName val="SAP_Budget_by_Contain_Loc"/>
      <sheetName val="Brazil_Sovereign"/>
      <sheetName val="PPM Waterfall"/>
      <sheetName val="Names"/>
      <sheetName val="ct"/>
      <sheetName val="NEW-PANEL"/>
      <sheetName val="PPM_Waterfall"/>
      <sheetName val="Salary Costs drivers"/>
      <sheetName val="ListView"/>
      <sheetName val="data input"/>
      <sheetName val="600ML"/>
      <sheetName val="material data"/>
      <sheetName val="other data"/>
      <sheetName val="Tuc"/>
      <sheetName val="Constantes"/>
      <sheetName val="Proced."/>
      <sheetName val="Ajustes"/>
      <sheetName val="Bloomberg (Aluminio)"/>
      <sheetName val="Bloomberg (Libor)"/>
      <sheetName val="aux"/>
      <sheetName val="Hoja1"/>
      <sheetName val="Summary - LAN"/>
      <sheetName val="Лист2"/>
      <sheetName val="Budget Summary"/>
      <sheetName val="Tabelas"/>
      <sheetName val="LDE"/>
      <sheetName val="Engine"/>
      <sheetName val="Validate"/>
      <sheetName val="Assumptions"/>
      <sheetName val="MUG"/>
      <sheetName val="Pg 1"/>
      <sheetName val="4. NWABC"/>
      <sheetName val="MgnEnero"/>
      <sheetName val="Drop Down"/>
      <sheetName val="drop down list"/>
      <sheetName val="Daten"/>
      <sheetName val="IS BS actual"/>
      <sheetName val="Cover Page"/>
      <sheetName val="User Input"/>
      <sheetName val="Controls"/>
      <sheetName val="RG Depots"/>
      <sheetName val="Quarterly LBO Model"/>
      <sheetName val="BASE BUD Ratios"/>
      <sheetName val="dep_pre1"/>
      <sheetName val="DT_1999_(abst__from_model)1"/>
      <sheetName val="Share_Price_20021"/>
      <sheetName val="Cost_Elements_to_Use1"/>
      <sheetName val="Sales_Seasonality_by_Month1"/>
      <sheetName val="c3__fto1"/>
      <sheetName val="C3_Base_Tran1"/>
      <sheetName val="pbg_pbgpc_1"/>
      <sheetName val="pbg1_pbg2_pbg31"/>
      <sheetName val="vab_rem1"/>
      <sheetName val="WCOL_INDEX1"/>
      <sheetName val="WCOL_INPUT1"/>
      <sheetName val="Validate_List1"/>
      <sheetName val="EI_Calc1"/>
      <sheetName val="MK_2441"/>
      <sheetName val="Months_and_Countries1"/>
      <sheetName val="Dados_BLP1"/>
      <sheetName val="Base_&amp;_LBO_Assumptions1"/>
      <sheetName val="JAII_Income1"/>
      <sheetName val="Holding_Page1"/>
      <sheetName val="JAII_Balance1"/>
      <sheetName val="Sensitivity_Data1"/>
      <sheetName val="Distribución_D1"/>
      <sheetName val="FX_rates1"/>
      <sheetName val="SAP_Budget_by_Contain_Loc1"/>
      <sheetName val="Brazil_Sovereign1"/>
      <sheetName val="Projects_list1"/>
      <sheetName val="Target_Book1"/>
      <sheetName val="Données_LMU1"/>
      <sheetName val="PPM_Waterfall1"/>
      <sheetName val="Salary_Costs_drivers"/>
      <sheetName val="material_data"/>
      <sheetName val="other_data"/>
      <sheetName val="Bloomberg_(Aluminio)"/>
      <sheetName val="Bloomberg_(Libor)"/>
      <sheetName val="data_input"/>
      <sheetName val="Summary_-_LAN"/>
      <sheetName val="Proced_"/>
      <sheetName val="IS_BS_actual"/>
      <sheetName val="RG_Depots"/>
      <sheetName val="Quarterly_LBO_Model"/>
      <sheetName val="Cover_Page"/>
      <sheetName val="User_Input"/>
      <sheetName val="Pg_1"/>
      <sheetName val="4__NWABC"/>
      <sheetName val="Drop_Down"/>
      <sheetName val="drop_down_list"/>
      <sheetName val="Budget_Summary"/>
      <sheetName val="BASE_BUD_Ratios"/>
      <sheetName val="Списки"/>
      <sheetName val="Merger"/>
      <sheetName val="DCF"/>
      <sheetName val="Datos"/>
      <sheetName val="Ayuda desplegables"/>
      <sheetName val="Summary Input"/>
      <sheetName val="Set Up"/>
      <sheetName val="Master"/>
      <sheetName val="LE - Input"/>
      <sheetName val="Cases"/>
      <sheetName val="Revenues"/>
      <sheetName val="Resumo por P"/>
      <sheetName val="Database (RUR)Mar YTD"/>
      <sheetName val="cc"/>
      <sheetName val="packages"/>
      <sheetName val="Macro"/>
      <sheetName val="RLP"/>
      <sheetName val="Argentina"/>
      <sheetName val="AR_Beer"/>
      <sheetName val="AR_SD"/>
      <sheetName val="AR_DGO"/>
      <sheetName val="AR_EComm"/>
      <sheetName val="AR_Agro"/>
      <sheetName val="Uruguay"/>
      <sheetName val="UY_Beer"/>
      <sheetName val="UY_SD"/>
      <sheetName val="UY_DGO"/>
      <sheetName val="Segmentacion"/>
      <sheetName val="Case"/>
      <sheetName val="SumVal"/>
      <sheetName val="250CC"/>
      <sheetName val="Mat x categ"/>
      <sheetName val="VariablesDocumentacionISO"/>
      <sheetName val="Schroder Small Caps"/>
      <sheetName val="x"/>
      <sheetName val="Cover"/>
      <sheetName val="Mfg-Curr.Prod. - 14"/>
      <sheetName val="G&amp;A-Controllership - 27"/>
      <sheetName val="G&amp;A-Total - 25"/>
      <sheetName val="Despliegue Legal"/>
      <sheetName val="Selection Lists"/>
      <sheetName val=""/>
      <sheetName val="Completion Instructions"/>
      <sheetName val="Plan3"/>
      <sheetName val="dep_pre2"/>
      <sheetName val="DT_1999_(abst__from_model)2"/>
      <sheetName val="Share_Price_20022"/>
      <sheetName val="Cost_Elements_to_Use2"/>
      <sheetName val="Sales_Seasonality_by_Month2"/>
      <sheetName val="Months_and_Countries2"/>
      <sheetName val="c3__fto2"/>
      <sheetName val="C3_Base_Tran2"/>
      <sheetName val="pbg_pbgpc_2"/>
      <sheetName val="pbg1_pbg2_pbg32"/>
      <sheetName val="vab_rem2"/>
      <sheetName val="WCOL_INDEX2"/>
      <sheetName val="WCOL_INPUT2"/>
      <sheetName val="Validate_List2"/>
      <sheetName val="Dados_BLP2"/>
      <sheetName val="EI_Calc2"/>
      <sheetName val="MK_2442"/>
      <sheetName val="Base_&amp;_LBO_Assumptions2"/>
      <sheetName val="JAII_Income2"/>
      <sheetName val="Holding_Page2"/>
      <sheetName val="JAII_Balance2"/>
      <sheetName val="Sensitivity_Data2"/>
      <sheetName val="Distribución_D2"/>
      <sheetName val="FX_rates2"/>
      <sheetName val="Brazil_Sovereign2"/>
      <sheetName val="Projects_list2"/>
      <sheetName val="SAP_Budget_by_Contain_Loc2"/>
      <sheetName val="Target_Book2"/>
      <sheetName val="Données_LMU2"/>
      <sheetName val="PPM_Waterfall2"/>
      <sheetName val="Salary_Costs_drivers1"/>
      <sheetName val="material_data1"/>
      <sheetName val="other_data1"/>
      <sheetName val="Bloomberg_(Aluminio)1"/>
      <sheetName val="Bloomberg_(Libor)1"/>
      <sheetName val="Proced_1"/>
      <sheetName val="Summary_-_LAN1"/>
      <sheetName val="data_input1"/>
      <sheetName val="IS_BS_actual1"/>
      <sheetName val="BASE_BUD_Ratios1"/>
      <sheetName val="Cover_Page1"/>
      <sheetName val="User_Input1"/>
      <sheetName val="Budget_Summary1"/>
      <sheetName val="Pg_11"/>
      <sheetName val="4__NWABC1"/>
      <sheetName val="Drop_Down1"/>
      <sheetName val="drop_down_list1"/>
      <sheetName val="Ayuda_desplegables"/>
      <sheetName val="RG_Depots1"/>
      <sheetName val="Quarterly_LBO_Model1"/>
      <sheetName val="Summary_Input"/>
      <sheetName val="Resumo_por_P"/>
      <sheetName val="Database_(RUR)Mar_YTD"/>
      <sheetName val="Set_Up"/>
      <sheetName val="LE_-_Input"/>
      <sheetName val="Schroder_Small_Caps"/>
      <sheetName val="Help"/>
      <sheetName val="Mat_x_categ"/>
      <sheetName val="Sales Package Input"/>
      <sheetName val="GCOA_SUBP"/>
      <sheetName val="CCTO_COUNTRY"/>
      <sheetName val="Input"/>
      <sheetName val="CUENTAS SAP"/>
      <sheetName val="dep_pre3"/>
      <sheetName val="c3__fto3"/>
      <sheetName val="C3_Base_Tran3"/>
      <sheetName val="pbg_pbgpc_3"/>
      <sheetName val="pbg1_pbg2_pbg33"/>
      <sheetName val="vab_rem3"/>
      <sheetName val="WCOL_INDEX3"/>
      <sheetName val="WCOL_INPUT3"/>
      <sheetName val="Validate_List3"/>
      <sheetName val="Share_Price_20023"/>
      <sheetName val="DT_1999_(abst__from_model)3"/>
      <sheetName val="Cost_Elements_to_Use3"/>
      <sheetName val="MK_2443"/>
      <sheetName val="Base_&amp;_LBO_Assumptions3"/>
      <sheetName val="JAII_Income3"/>
      <sheetName val="Holding_Page3"/>
      <sheetName val="JAII_Balance3"/>
      <sheetName val="Sensitivity_Data3"/>
      <sheetName val="Sales_Seasonality_by_Month3"/>
      <sheetName val="EI_Calc3"/>
      <sheetName val="Dados_BLP3"/>
      <sheetName val="Months_and_Countries3"/>
      <sheetName val="Distribución_D3"/>
      <sheetName val="FX_rates3"/>
      <sheetName val="Projects_list3"/>
      <sheetName val="Target_Book3"/>
      <sheetName val="Données_LMU3"/>
      <sheetName val="SAP_Budget_by_Contain_Loc3"/>
      <sheetName val="Brazil_Sovereign3"/>
      <sheetName val="PPM_Waterfall3"/>
      <sheetName val="Salary_Costs_drivers2"/>
      <sheetName val="data_input2"/>
      <sheetName val="material_data2"/>
      <sheetName val="other_data2"/>
      <sheetName val="Summary_-_LAN2"/>
      <sheetName val="Bloomberg_(Aluminio)2"/>
      <sheetName val="Bloomberg_(Libor)2"/>
      <sheetName val="IS_BS_actual2"/>
      <sheetName val="Proced_2"/>
      <sheetName val="Budget_Summary2"/>
      <sheetName val="Pg_12"/>
      <sheetName val="4__NWABC2"/>
      <sheetName val="Drop_Down2"/>
      <sheetName val="drop_down_list2"/>
      <sheetName val="Cover_Page2"/>
      <sheetName val="User_Input2"/>
      <sheetName val="RG_Depots2"/>
      <sheetName val="Quarterly_LBO_Model2"/>
      <sheetName val="BASE_BUD_Ratios2"/>
      <sheetName val="Ayuda_desplegables1"/>
      <sheetName val="Summary_Input1"/>
      <sheetName val="Set_Up1"/>
      <sheetName val="LE_-_Input1"/>
      <sheetName val="Database_(RUR)Mar_YTD1"/>
      <sheetName val="Resumo_por_P1"/>
      <sheetName val="Mat_x_categ1"/>
      <sheetName val="CAD"/>
      <sheetName val="Subs_2141"/>
      <sheetName val="Load Data"/>
      <sheetName val="Risk"/>
      <sheetName val="IPLs"/>
      <sheetName val="Explanations"/>
      <sheetName val="POA"/>
      <sheetName val="GEO"/>
      <sheetName val="tab prod"/>
      <sheetName val="Summ"/>
      <sheetName val="Parámetros"/>
      <sheetName val="Cognos"/>
      <sheetName val="análise"/>
      <sheetName val="Data"/>
      <sheetName val="Sales &amp; MKT Cost "/>
      <sheetName val="Sales &amp; MKT Cost AC"/>
      <sheetName val="OHC+OP+CCC"/>
      <sheetName val="OHC+OP+CCC AC"/>
      <sheetName val="Tabla1"/>
      <sheetName val="Maco AC"/>
      <sheetName val="MacoBU"/>
      <sheetName val="Masterdata"/>
      <sheetName val="Validacion #1"/>
      <sheetName val="Listas"/>
      <sheetName val="Combined Financials"/>
      <sheetName val="FF"/>
      <sheetName val="synthgraph"/>
      <sheetName val="dep_pre4"/>
      <sheetName val="c3__fto4"/>
      <sheetName val="C3_Base_Tran4"/>
      <sheetName val="pbg_pbgpc_4"/>
      <sheetName val="pbg1_pbg2_pbg34"/>
      <sheetName val="vab_rem4"/>
      <sheetName val="WCOL_INDEX4"/>
      <sheetName val="WCOL_INPUT4"/>
      <sheetName val="Validate_List4"/>
      <sheetName val="Share_Price_20024"/>
      <sheetName val="DT_1999_(abst__from_model)4"/>
      <sheetName val="Cost_Elements_to_Use4"/>
      <sheetName val="MK_2444"/>
      <sheetName val="Sales_Seasonality_by_Month4"/>
      <sheetName val="Base_&amp;_LBO_Assumptions4"/>
      <sheetName val="JAII_Income4"/>
      <sheetName val="Holding_Page4"/>
      <sheetName val="JAII_Balance4"/>
      <sheetName val="Sensitivity_Data4"/>
      <sheetName val="EI_Calc4"/>
      <sheetName val="Dados_BLP4"/>
      <sheetName val="Months_and_Countries4"/>
      <sheetName val="Distribución_D4"/>
      <sheetName val="FX_rates4"/>
      <sheetName val="SAP_Budget_by_Contain_Loc4"/>
      <sheetName val="Brazil_Sovereign4"/>
      <sheetName val="Projects_list4"/>
      <sheetName val="Target_Book4"/>
      <sheetName val="Données_LMU4"/>
      <sheetName val="PPM_Waterfall4"/>
      <sheetName val="Salary_Costs_drivers3"/>
      <sheetName val="Summary_-_LAN3"/>
      <sheetName val="material_data3"/>
      <sheetName val="other_data3"/>
      <sheetName val="IS_BS_actual3"/>
      <sheetName val="Bloomberg_(Aluminio)3"/>
      <sheetName val="Bloomberg_(Libor)3"/>
      <sheetName val="data_input3"/>
      <sheetName val="Proced_3"/>
      <sheetName val="Cover_Page3"/>
      <sheetName val="User_Input3"/>
      <sheetName val="RG_Depots3"/>
      <sheetName val="Quarterly_LBO_Model3"/>
      <sheetName val="Budget_Summary3"/>
      <sheetName val="Pg_13"/>
      <sheetName val="4__NWABC3"/>
      <sheetName val="Drop_Down3"/>
      <sheetName val="drop_down_list3"/>
      <sheetName val="BASE_BUD_Ratios3"/>
      <sheetName val="Summary_Input2"/>
      <sheetName val="Ayuda_desplegables2"/>
      <sheetName val="Set_Up2"/>
      <sheetName val="LE_-_Input2"/>
      <sheetName val="Resumo_por_P2"/>
      <sheetName val="Database_(RUR)Mar_YTD2"/>
      <sheetName val="Mfg-Curr_Prod__-_14"/>
      <sheetName val="G&amp;A-Controllership_-_27"/>
      <sheetName val="G&amp;A-Total_-_25"/>
      <sheetName val="Despliegue_Legal"/>
      <sheetName val="Mat_x_categ2"/>
      <sheetName val="Schroder_Small_Caps1"/>
      <sheetName val="Completion_Instructions"/>
      <sheetName val="Selection_Lists"/>
      <sheetName val="Sales_Package_Input"/>
      <sheetName val="CUENTAS_SAP"/>
      <sheetName val="Load_Data"/>
      <sheetName val="tab_prod"/>
      <sheetName val="Sales_&amp;_MKT_Cost_"/>
      <sheetName val="Sales_&amp;_MKT_Cost_AC"/>
      <sheetName val="OHC+OP+CCC_AC"/>
      <sheetName val="Maco_AC"/>
      <sheetName val="Validacion_#1"/>
      <sheetName val="Combined_Financials"/>
      <sheetName val="dep_pre5"/>
      <sheetName val="c3__fto5"/>
      <sheetName val="C3_Base_Tran5"/>
      <sheetName val="pbg_pbgpc_5"/>
      <sheetName val="pbg1_pbg2_pbg35"/>
      <sheetName val="vab_rem5"/>
      <sheetName val="WCOL_INDEX5"/>
      <sheetName val="WCOL_INPUT5"/>
      <sheetName val="Validate_List5"/>
      <sheetName val="Share_Price_20025"/>
      <sheetName val="DT_1999_(abst__from_model)5"/>
      <sheetName val="Cost_Elements_to_Use5"/>
      <sheetName val="MK_2445"/>
      <sheetName val="Base_&amp;_LBO_Assumptions5"/>
      <sheetName val="JAII_Income5"/>
      <sheetName val="Holding_Page5"/>
      <sheetName val="JAII_Balance5"/>
      <sheetName val="Sensitivity_Data5"/>
      <sheetName val="Sales_Seasonality_by_Month5"/>
      <sheetName val="EI_Calc5"/>
      <sheetName val="Dados_BLP5"/>
      <sheetName val="Months_and_Countries5"/>
      <sheetName val="Projects_list5"/>
      <sheetName val="Target_Book5"/>
      <sheetName val="Données_LMU5"/>
      <sheetName val="Distribución_D5"/>
      <sheetName val="FX_rates5"/>
      <sheetName val="Brazil_Sovereign5"/>
      <sheetName val="SAP_Budget_by_Contain_Loc5"/>
      <sheetName val="PPM_Waterfall5"/>
      <sheetName val="Salary_Costs_drivers4"/>
      <sheetName val="material_data4"/>
      <sheetName val="other_data4"/>
      <sheetName val="Bloomberg_(Aluminio)4"/>
      <sheetName val="Bloomberg_(Libor)4"/>
      <sheetName val="data_input4"/>
      <sheetName val="Summary_-_LAN4"/>
      <sheetName val="Proced_4"/>
      <sheetName val="Budget_Summary4"/>
      <sheetName val="IS_BS_actual4"/>
      <sheetName val="Pg_14"/>
      <sheetName val="4__NWABC4"/>
      <sheetName val="Drop_Down4"/>
      <sheetName val="drop_down_list4"/>
      <sheetName val="Cover_Page4"/>
      <sheetName val="User_Input4"/>
      <sheetName val="RG_Depots4"/>
      <sheetName val="Quarterly_LBO_Model4"/>
      <sheetName val="BASE_BUD_Ratios4"/>
      <sheetName val="Ayuda_desplegables3"/>
      <sheetName val="Summary_Input3"/>
      <sheetName val="LE_-_Input3"/>
      <sheetName val="Set_Up3"/>
      <sheetName val="Database_(RUR)Mar_YTD3"/>
      <sheetName val="Resumo_por_P3"/>
      <sheetName val="Mat_x_categ3"/>
      <sheetName val="Mfg-Curr_Prod__-_141"/>
      <sheetName val="G&amp;A-Controllership_-_271"/>
      <sheetName val="G&amp;A-Total_-_251"/>
      <sheetName val="Despliegue_Legal1"/>
      <sheetName val="Schroder_Small_Caps2"/>
      <sheetName val="Completion_Instructions1"/>
      <sheetName val="Selection_Lists1"/>
      <sheetName val="Sales_Package_Input1"/>
      <sheetName val="Load_Data1"/>
      <sheetName val="CUENTAS_SAP1"/>
      <sheetName val="tab_prod1"/>
      <sheetName val="Sales_&amp;_MKT_Cost_1"/>
      <sheetName val="Sales_&amp;_MKT_Cost_AC1"/>
      <sheetName val="OHC+OP+CCC_AC1"/>
      <sheetName val="Maco_AC1"/>
      <sheetName val="Validacion_#11"/>
      <sheetName val="Combined_Financials1"/>
      <sheetName val="Scoring - Do not update"/>
      <sheetName val="BS Flows"/>
      <sheetName val="Feriados"/>
      <sheetName val="SCHEDULE 3 98"/>
      <sheetName val="EXPL.AGUA"/>
      <sheetName val="Quantity"/>
      <sheetName val="dep_pre6"/>
      <sheetName val="c3__fto6"/>
      <sheetName val="C3_Base_Tran6"/>
      <sheetName val="pbg_pbgpc_6"/>
      <sheetName val="pbg1_pbg2_pbg36"/>
      <sheetName val="vab_rem6"/>
      <sheetName val="WCOL_INDEX6"/>
      <sheetName val="WCOL_INPUT6"/>
      <sheetName val="MK_2446"/>
      <sheetName val="Validate_List6"/>
      <sheetName val="Share_Price_20026"/>
      <sheetName val="DT_1999_(abst__from_model)6"/>
      <sheetName val="Cost_Elements_to_Use6"/>
      <sheetName val="Base_&amp;_LBO_Assumptions6"/>
      <sheetName val="JAII_Income6"/>
      <sheetName val="Holding_Page6"/>
      <sheetName val="JAII_Balance6"/>
      <sheetName val="Sensitivity_Data6"/>
      <sheetName val="Sales_Seasonality_by_Month6"/>
      <sheetName val="EI_Calc6"/>
      <sheetName val="Dados_BLP6"/>
      <sheetName val="Months_and_Countries6"/>
      <sheetName val="Distribución_D6"/>
      <sheetName val="FX_rates6"/>
      <sheetName val="SAP_Budget_by_Contain_Loc6"/>
      <sheetName val="Projects_list6"/>
      <sheetName val="Target_Book6"/>
      <sheetName val="Données_LMU6"/>
      <sheetName val="Brazil_Sovereign6"/>
      <sheetName val="PPM_Waterfall6"/>
      <sheetName val="Salary_Costs_drivers5"/>
      <sheetName val="data_input5"/>
      <sheetName val="material_data5"/>
      <sheetName val="other_data5"/>
      <sheetName val="Proced_5"/>
      <sheetName val="Bloomberg_(Aluminio)5"/>
      <sheetName val="Bloomberg_(Libor)5"/>
      <sheetName val="Summary_-_LAN5"/>
      <sheetName val="Budget_Summary5"/>
      <sheetName val="Pg_15"/>
      <sheetName val="4__NWABC5"/>
      <sheetName val="Drop_Down5"/>
      <sheetName val="drop_down_list5"/>
      <sheetName val="IS_BS_actual5"/>
      <sheetName val="Cover_Page5"/>
      <sheetName val="User_Input5"/>
      <sheetName val="RG_Depots5"/>
      <sheetName val="Quarterly_LBO_Model5"/>
      <sheetName val="BASE_BUD_Ratios5"/>
      <sheetName val="Ayuda_desplegables4"/>
      <sheetName val="Summary_Input4"/>
      <sheetName val="Set_Up4"/>
      <sheetName val="LE_-_Input4"/>
      <sheetName val="Resumo_por_P4"/>
      <sheetName val="Database_(RUR)Mar_YTD4"/>
      <sheetName val="Mat_x_categ4"/>
      <sheetName val="Schroder_Small_Caps3"/>
      <sheetName val="Mfg-Curr_Prod__-_142"/>
      <sheetName val="G&amp;A-Controllership_-_272"/>
      <sheetName val="G&amp;A-Total_-_252"/>
      <sheetName val="Despliegue_Legal2"/>
      <sheetName val="Selection_Lists2"/>
      <sheetName val="Completion_Instructions2"/>
      <sheetName val="Sales_Package_Input2"/>
      <sheetName val="CUENTAS_SAP2"/>
      <sheetName val="Load_Data2"/>
      <sheetName val="tab_prod2"/>
      <sheetName val="Sales_&amp;_MKT_Cost_2"/>
      <sheetName val="Sales_&amp;_MKT_Cost_AC2"/>
      <sheetName val="OHC+OP+CCC_AC2"/>
      <sheetName val="Maco_AC2"/>
      <sheetName val="Validacion_#12"/>
      <sheetName val="Combined_Financials2"/>
      <sheetName val="Scoring_-_Do_not_update"/>
      <sheetName val="BS_Flows"/>
      <sheetName val="Overview"/>
      <sheetName val="Dados_Energia"/>
      <sheetName val="Total"/>
      <sheetName val="Asfalto"/>
      <sheetName val="BS_Flows1"/>
      <sheetName val="BS_Flows2"/>
      <sheetName val="ConversionNames"/>
      <sheetName val="CURRENCY"/>
      <sheetName val="GCOA"/>
      <sheetName val="UNIDADES"/>
      <sheetName val="dep_pre7"/>
      <sheetName val="c3__fto7"/>
      <sheetName val="C3_Base_Tran7"/>
      <sheetName val="pbg_pbgpc_7"/>
      <sheetName val="pbg1_pbg2_pbg37"/>
      <sheetName val="vab_rem7"/>
      <sheetName val="WCOL_INDEX7"/>
      <sheetName val="WCOL_INPUT7"/>
      <sheetName val="MK_2447"/>
      <sheetName val="Validate_List7"/>
      <sheetName val="Share_Price_20027"/>
      <sheetName val="DT_1999_(abst__from_model)7"/>
      <sheetName val="Cost_Elements_to_Use7"/>
      <sheetName val="Base_&amp;_LBO_Assumptions7"/>
      <sheetName val="JAII_Income7"/>
      <sheetName val="Holding_Page7"/>
      <sheetName val="JAII_Balance7"/>
      <sheetName val="Sensitivity_Data7"/>
      <sheetName val="Sales_Seasonality_by_Month7"/>
      <sheetName val="EI_Calc7"/>
      <sheetName val="Dados_BLP7"/>
      <sheetName val="Months_and_Countries7"/>
      <sheetName val="Distribución_D7"/>
      <sheetName val="FX_rates7"/>
      <sheetName val="SAP_Budget_by_Contain_Loc7"/>
      <sheetName val="Projects_list7"/>
      <sheetName val="Target_Book7"/>
      <sheetName val="Données_LMU7"/>
      <sheetName val="Brazil_Sovereign7"/>
      <sheetName val="PPM_Waterfall7"/>
      <sheetName val="Salary_Costs_drivers6"/>
      <sheetName val="data_input6"/>
      <sheetName val="material_data6"/>
      <sheetName val="other_data6"/>
      <sheetName val="Proced_6"/>
      <sheetName val="Bloomberg_(Aluminio)6"/>
      <sheetName val="Bloomberg_(Libor)6"/>
      <sheetName val="Summary_-_LAN6"/>
      <sheetName val="Budget_Summary6"/>
      <sheetName val="Pg_16"/>
      <sheetName val="4__NWABC6"/>
      <sheetName val="Drop_Down6"/>
      <sheetName val="drop_down_list6"/>
      <sheetName val="IS_BS_actual6"/>
      <sheetName val="Cover_Page6"/>
      <sheetName val="User_Input6"/>
      <sheetName val="RG_Depots6"/>
      <sheetName val="Quarterly_LBO_Model6"/>
      <sheetName val="BASE_BUD_Ratios6"/>
      <sheetName val="Ayuda_desplegables5"/>
      <sheetName val="Summary_Input5"/>
      <sheetName val="Set_Up5"/>
      <sheetName val="LE_-_Input5"/>
      <sheetName val="Resumo_por_P5"/>
      <sheetName val="Database_(RUR)Mar_YTD5"/>
      <sheetName val="Mat_x_categ5"/>
      <sheetName val="Schroder_Small_Caps4"/>
      <sheetName val="Mfg-Curr_Prod__-_143"/>
      <sheetName val="G&amp;A-Controllership_-_273"/>
      <sheetName val="G&amp;A-Total_-_253"/>
      <sheetName val="Despliegue_Legal3"/>
      <sheetName val="Selection_Lists3"/>
      <sheetName val="Completion_Instructions3"/>
      <sheetName val="Sales_Package_Input3"/>
      <sheetName val="CUENTAS_SAP3"/>
      <sheetName val="Load_Data3"/>
      <sheetName val="tab_prod3"/>
      <sheetName val="Sales_&amp;_MKT_Cost_3"/>
      <sheetName val="Sales_&amp;_MKT_Cost_AC3"/>
      <sheetName val="OHC+OP+CCC_AC3"/>
      <sheetName val="Maco_AC3"/>
      <sheetName val="Validacion_#13"/>
      <sheetName val="Combined_Financials3"/>
      <sheetName val="Scoring_-_Do_not_update1"/>
      <sheetName val="BS_Flows3"/>
      <sheetName val="SCHEDULE_3_98"/>
      <sheetName val="EXPL_AGUA"/>
      <sheetName val="Setting"/>
      <sheetName val="GASTO-01"/>
      <sheetName val="Config"/>
      <sheetName val="Entities"/>
      <sheetName val="Producción"/>
      <sheetName val="Dados gefab"/>
      <sheetName val="TOC"/>
      <sheetName val="EU Comps"/>
      <sheetName val="Gráficos volúmen"/>
      <sheetName val="Tablas"/>
      <sheetName val="dep_pre8"/>
      <sheetName val="c3__fto8"/>
      <sheetName val="C3_Base_Tran8"/>
      <sheetName val="pbg_pbgpc_8"/>
      <sheetName val="pbg1_pbg2_pbg38"/>
      <sheetName val="vab_rem8"/>
      <sheetName val="WCOL_INDEX8"/>
      <sheetName val="WCOL_INPUT8"/>
      <sheetName val="MK_2448"/>
      <sheetName val="Validate_List8"/>
      <sheetName val="Share_Price_20028"/>
      <sheetName val="DT_1999_(abst__from_model)8"/>
      <sheetName val="Cost_Elements_to_Use8"/>
      <sheetName val="Base_&amp;_LBO_Assumptions8"/>
      <sheetName val="JAII_Income8"/>
      <sheetName val="Holding_Page8"/>
      <sheetName val="JAII_Balance8"/>
      <sheetName val="Sensitivity_Data8"/>
      <sheetName val="Sales_Seasonality_by_Month8"/>
      <sheetName val="EI_Calc8"/>
      <sheetName val="Dados_BLP8"/>
      <sheetName val="Months_and_Countries8"/>
      <sheetName val="Distribución_D8"/>
      <sheetName val="FX_rates8"/>
      <sheetName val="SAP_Budget_by_Contain_Loc8"/>
      <sheetName val="Projects_list8"/>
      <sheetName val="Target_Book8"/>
      <sheetName val="Données_LMU8"/>
      <sheetName val="Brazil_Sovereign8"/>
      <sheetName val="PPM_Waterfall8"/>
      <sheetName val="Salary_Costs_drivers7"/>
      <sheetName val="data_input7"/>
      <sheetName val="material_data7"/>
      <sheetName val="other_data7"/>
      <sheetName val="Proced_7"/>
      <sheetName val="Bloomberg_(Aluminio)7"/>
      <sheetName val="Bloomberg_(Libor)7"/>
      <sheetName val="Summary_-_LAN7"/>
      <sheetName val="Budget_Summary7"/>
      <sheetName val="Pg_17"/>
      <sheetName val="4__NWABC7"/>
      <sheetName val="Drop_Down7"/>
      <sheetName val="drop_down_list7"/>
      <sheetName val="IS_BS_actual7"/>
      <sheetName val="Cover_Page7"/>
      <sheetName val="User_Input7"/>
      <sheetName val="RG_Depots7"/>
      <sheetName val="Quarterly_LBO_Model7"/>
      <sheetName val="BASE_BUD_Ratios7"/>
      <sheetName val="Ayuda_desplegables6"/>
      <sheetName val="Summary_Input6"/>
      <sheetName val="Set_Up6"/>
      <sheetName val="LE_-_Input6"/>
      <sheetName val="Resumo_por_P6"/>
      <sheetName val="Database_(RUR)Mar_YTD6"/>
      <sheetName val="Mat_x_categ6"/>
      <sheetName val="Schroder_Small_Caps5"/>
      <sheetName val="Mfg-Curr_Prod__-_144"/>
      <sheetName val="G&amp;A-Controllership_-_274"/>
      <sheetName val="G&amp;A-Total_-_254"/>
      <sheetName val="Despliegue_Legal4"/>
      <sheetName val="Selection_Lists4"/>
      <sheetName val="Completion_Instructions4"/>
      <sheetName val="Sales_Package_Input4"/>
      <sheetName val="CUENTAS_SAP4"/>
      <sheetName val="Load_Data4"/>
      <sheetName val="tab_prod4"/>
      <sheetName val="Sales_&amp;_MKT_Cost_4"/>
      <sheetName val="Sales_&amp;_MKT_Cost_AC4"/>
      <sheetName val="OHC+OP+CCC_AC4"/>
      <sheetName val="Maco_AC4"/>
      <sheetName val="Validacion_#14"/>
      <sheetName val="Combined_Financials4"/>
      <sheetName val="Scoring_-_Do_not_update2"/>
      <sheetName val="BS_Flows4"/>
      <sheetName val="SCHEDULE_3_981"/>
      <sheetName val="EXPL_AGUA1"/>
      <sheetName val="dep_pre9"/>
      <sheetName val="c3__fto9"/>
      <sheetName val="C3_Base_Tran9"/>
      <sheetName val="pbg_pbgpc_9"/>
      <sheetName val="pbg1_pbg2_pbg39"/>
      <sheetName val="vab_rem9"/>
      <sheetName val="WCOL_INDEX9"/>
      <sheetName val="WCOL_INPUT9"/>
      <sheetName val="MK_2449"/>
      <sheetName val="Validate_List9"/>
      <sheetName val="Share_Price_20029"/>
      <sheetName val="DT_1999_(abst__from_model)9"/>
      <sheetName val="Cost_Elements_to_Use9"/>
      <sheetName val="Base_&amp;_LBO_Assumptions9"/>
      <sheetName val="JAII_Income9"/>
      <sheetName val="Holding_Page9"/>
      <sheetName val="JAII_Balance9"/>
      <sheetName val="Sensitivity_Data9"/>
      <sheetName val="Sales_Seasonality_by_Month9"/>
      <sheetName val="EI_Calc9"/>
      <sheetName val="Dados_BLP9"/>
      <sheetName val="Months_and_Countries9"/>
      <sheetName val="Distribución_D9"/>
      <sheetName val="FX_rates9"/>
      <sheetName val="SAP_Budget_by_Contain_Loc9"/>
      <sheetName val="Projects_list9"/>
      <sheetName val="Target_Book9"/>
      <sheetName val="Données_LMU9"/>
      <sheetName val="Brazil_Sovereign9"/>
      <sheetName val="PPM_Waterfall9"/>
      <sheetName val="Salary_Costs_drivers8"/>
      <sheetName val="data_input8"/>
      <sheetName val="material_data8"/>
      <sheetName val="other_data8"/>
      <sheetName val="Proced_8"/>
      <sheetName val="Bloomberg_(Aluminio)8"/>
      <sheetName val="Bloomberg_(Libor)8"/>
      <sheetName val="Summary_-_LAN8"/>
      <sheetName val="Budget_Summary8"/>
      <sheetName val="Pg_18"/>
      <sheetName val="4__NWABC8"/>
      <sheetName val="Drop_Down8"/>
      <sheetName val="drop_down_list8"/>
      <sheetName val="IS_BS_actual8"/>
      <sheetName val="Cover_Page8"/>
      <sheetName val="User_Input8"/>
      <sheetName val="RG_Depots8"/>
      <sheetName val="Quarterly_LBO_Model8"/>
      <sheetName val="BASE_BUD_Ratios8"/>
      <sheetName val="Ayuda_desplegables7"/>
      <sheetName val="Summary_Input7"/>
      <sheetName val="Set_Up7"/>
      <sheetName val="LE_-_Input7"/>
      <sheetName val="Resumo_por_P7"/>
      <sheetName val="Database_(RUR)Mar_YTD7"/>
      <sheetName val="Mat_x_categ7"/>
      <sheetName val="Schroder_Small_Caps6"/>
      <sheetName val="Mfg-Curr_Prod__-_145"/>
      <sheetName val="G&amp;A-Controllership_-_275"/>
      <sheetName val="G&amp;A-Total_-_255"/>
      <sheetName val="Despliegue_Legal5"/>
      <sheetName val="Completion_Instructions5"/>
      <sheetName val="Selection_Lists5"/>
      <sheetName val="Sales_Package_Input5"/>
      <sheetName val="CUENTAS_SAP5"/>
      <sheetName val="Load_Data5"/>
      <sheetName val="tab_prod5"/>
      <sheetName val="Sales_&amp;_MKT_Cost_5"/>
      <sheetName val="Sales_&amp;_MKT_Cost_AC5"/>
      <sheetName val="OHC+OP+CCC_AC5"/>
      <sheetName val="Maco_AC5"/>
      <sheetName val="Validacion_#15"/>
      <sheetName val="Combined_Financials5"/>
      <sheetName val="Scoring_-_Do_not_update3"/>
      <sheetName val="BS_Flows5"/>
      <sheetName val="SCHEDULE_3_982"/>
      <sheetName val="EXPL_AGUA2"/>
      <sheetName val="Dados_gefab"/>
      <sheetName val="EU_Comps"/>
      <sheetName val="Gráficos_volúmen"/>
      <sheetName val="Gen-2"/>
      <sheetName val="dep_pre10"/>
      <sheetName val="c3__fto10"/>
      <sheetName val="C3_Base_Tran10"/>
      <sheetName val="pbg_pbgpc_10"/>
      <sheetName val="pbg1_pbg2_pbg310"/>
      <sheetName val="vab_rem10"/>
      <sheetName val="WCOL_INDEX10"/>
      <sheetName val="WCOL_INPUT10"/>
      <sheetName val="MK_24410"/>
      <sheetName val="Validate_List10"/>
      <sheetName val="Share_Price_200210"/>
      <sheetName val="DT_1999_(abst__from_model)10"/>
      <sheetName val="Cost_Elements_to_Use10"/>
      <sheetName val="Base_&amp;_LBO_Assumptions10"/>
      <sheetName val="JAII_Income10"/>
      <sheetName val="Holding_Page10"/>
      <sheetName val="JAII_Balance10"/>
      <sheetName val="Sensitivity_Data10"/>
      <sheetName val="Sales_Seasonality_by_Month10"/>
      <sheetName val="EI_Calc10"/>
      <sheetName val="Dados_BLP10"/>
      <sheetName val="Months_and_Countries10"/>
      <sheetName val="Distribución_D10"/>
      <sheetName val="FX_rates10"/>
      <sheetName val="SAP_Budget_by_Contain_Loc10"/>
      <sheetName val="Projects_list10"/>
      <sheetName val="Target_Book10"/>
      <sheetName val="Données_LMU10"/>
      <sheetName val="Brazil_Sovereign10"/>
      <sheetName val="PPM_Waterfall10"/>
      <sheetName val="Salary_Costs_drivers9"/>
      <sheetName val="data_input9"/>
      <sheetName val="material_data9"/>
      <sheetName val="other_data9"/>
      <sheetName val="Proced_9"/>
      <sheetName val="Bloomberg_(Aluminio)9"/>
      <sheetName val="Bloomberg_(Libor)9"/>
      <sheetName val="Summary_-_LAN9"/>
      <sheetName val="Budget_Summary9"/>
      <sheetName val="IS_BS_actual9"/>
      <sheetName val="Pg_19"/>
      <sheetName val="4__NWABC9"/>
      <sheetName val="Drop_Down9"/>
      <sheetName val="drop_down_list9"/>
      <sheetName val="Cover_Page9"/>
      <sheetName val="User_Input9"/>
      <sheetName val="RG_Depots9"/>
      <sheetName val="Quarterly_LBO_Model9"/>
      <sheetName val="BASE_BUD_Ratios9"/>
      <sheetName val="Ayuda_desplegables8"/>
      <sheetName val="Summary_Input8"/>
      <sheetName val="Set_Up8"/>
      <sheetName val="LE_-_Input8"/>
      <sheetName val="Resumo_por_P8"/>
      <sheetName val="Database_(RUR)Mar_YTD8"/>
      <sheetName val="Mat_x_categ8"/>
      <sheetName val="Schroder_Small_Caps7"/>
      <sheetName val="Mfg-Curr_Prod__-_146"/>
      <sheetName val="G&amp;A-Controllership_-_276"/>
      <sheetName val="G&amp;A-Total_-_256"/>
      <sheetName val="Despliegue_Legal6"/>
      <sheetName val="Completion_Instructions6"/>
      <sheetName val="Selection_Lists6"/>
      <sheetName val="Sales_Package_Input6"/>
      <sheetName val="Load_Data6"/>
      <sheetName val="CUENTAS_SAP6"/>
      <sheetName val="tab_prod6"/>
      <sheetName val="Sales_&amp;_MKT_Cost_6"/>
      <sheetName val="Sales_&amp;_MKT_Cost_AC6"/>
      <sheetName val="OHC+OP+CCC_AC6"/>
      <sheetName val="Maco_AC6"/>
      <sheetName val="Validacion_#16"/>
      <sheetName val="Combined_Financials6"/>
      <sheetName val="Scoring_-_Do_not_update4"/>
      <sheetName val="BS_Flows6"/>
      <sheetName val="SCHEDULE_3_983"/>
      <sheetName val="EXPL_AGUA3"/>
      <sheetName val="Dados_gefab1"/>
      <sheetName val="EU_Comps1"/>
      <sheetName val="Gráficos_volúmen1"/>
      <sheetName val="KF6"/>
      <sheetName val="FINALPHP"/>
      <sheetName val=" "/>
      <sheetName val="Resumen"/>
      <sheetName val="UNG"/>
      <sheetName val="Hoja2"/>
      <sheetName val="2022"/>
      <sheetName val="BAM Focus Brands"/>
      <sheetName val="Dados_gefab2"/>
      <sheetName val="Gráficos_volúmen2"/>
      <sheetName val="drop-down_lists"/>
      <sheetName val="dep_pre11"/>
      <sheetName val="c3__fto11"/>
      <sheetName val="C3_Base_Tran11"/>
      <sheetName val="pbg_pbgpc_11"/>
      <sheetName val="pbg1_pbg2_pbg311"/>
      <sheetName val="vab_rem11"/>
      <sheetName val="WCOL_INDEX11"/>
      <sheetName val="WCOL_INPUT11"/>
      <sheetName val="Validate_List11"/>
      <sheetName val="Share_Price_200211"/>
      <sheetName val="DT_1999_(abst__from_model)11"/>
      <sheetName val="Cost_Elements_to_Use11"/>
      <sheetName val="MK_24411"/>
      <sheetName val="Base_&amp;_LBO_Assumptions11"/>
      <sheetName val="JAII_Income11"/>
      <sheetName val="Holding_Page11"/>
      <sheetName val="JAII_Balance11"/>
      <sheetName val="Sensitivity_Data11"/>
      <sheetName val="Sales_Seasonality_by_Month11"/>
      <sheetName val="EI_Calc11"/>
      <sheetName val="Dados_BLP11"/>
      <sheetName val="Months_and_Countries11"/>
      <sheetName val="Distribución_D11"/>
      <sheetName val="FX_rates11"/>
      <sheetName val="SAP_Budget_by_Contain_Loc11"/>
      <sheetName val="Projects_list11"/>
      <sheetName val="Target_Book11"/>
      <sheetName val="Données_LMU11"/>
      <sheetName val="Brazil_Sovereign11"/>
      <sheetName val="PPM_Waterfall11"/>
      <sheetName val="Salary_Costs_drivers10"/>
      <sheetName val="material_data10"/>
      <sheetName val="other_data10"/>
      <sheetName val="data_input10"/>
      <sheetName val="Proced_10"/>
      <sheetName val="Bloomberg_(Aluminio)10"/>
      <sheetName val="Bloomberg_(Libor)10"/>
      <sheetName val="Summary_-_LAN10"/>
      <sheetName val="Budget_Summary10"/>
      <sheetName val="IS_BS_actual10"/>
      <sheetName val="Pg_110"/>
      <sheetName val="4__NWABC10"/>
      <sheetName val="Drop_Down10"/>
      <sheetName val="drop_down_list10"/>
      <sheetName val="Cover_Page10"/>
      <sheetName val="User_Input10"/>
      <sheetName val="RG_Depots10"/>
      <sheetName val="Quarterly_LBO_Model10"/>
      <sheetName val="BASE_BUD_Ratios10"/>
      <sheetName val="Summary_Input9"/>
      <sheetName val="Ayuda_desplegables9"/>
      <sheetName val="Resumo_por_P9"/>
      <sheetName val="Set_Up9"/>
      <sheetName val="LE_-_Input9"/>
      <sheetName val="Database_(RUR)Mar_YTD9"/>
      <sheetName val="Mat_x_categ9"/>
      <sheetName val="Schroder_Small_Caps8"/>
      <sheetName val="Mfg-Curr_Prod__-_147"/>
      <sheetName val="G&amp;A-Controllership_-_277"/>
      <sheetName val="G&amp;A-Total_-_257"/>
      <sheetName val="Despliegue_Legal7"/>
      <sheetName val="Completion_Instructions7"/>
      <sheetName val="Selection_Lists7"/>
      <sheetName val="Sales_Package_Input7"/>
      <sheetName val="CUENTAS_SAP7"/>
      <sheetName val="Load_Data7"/>
      <sheetName val="tab_prod7"/>
      <sheetName val="Sales_&amp;_MKT_Cost_7"/>
      <sheetName val="Sales_&amp;_MKT_Cost_AC7"/>
      <sheetName val="OHC+OP+CCC_AC7"/>
      <sheetName val="Maco_AC7"/>
      <sheetName val="Validacion_#17"/>
      <sheetName val="Combined_Financials7"/>
      <sheetName val="Scoring_-_Do_not_update5"/>
      <sheetName val="BS_Flows7"/>
      <sheetName val="EU_Comps2"/>
      <sheetName val="SCHEDULE_3_984"/>
      <sheetName val="EXPL_AGUA4"/>
      <sheetName val="4"/>
      <sheetName val="MD"/>
      <sheetName val="BIBLE"/>
      <sheetName val="Forecast"/>
      <sheetName val="Setup"/>
      <sheetName val="Dados_gefab3"/>
      <sheetName val="Gráficos_volúmen3"/>
      <sheetName val="CDI"/>
      <sheetName val="Bloomberg"/>
      <sheetName val="Entrada de Dados"/>
      <sheetName val="ACUMULADOS OPERARIOS"/>
      <sheetName val="Supporting Data"/>
      <sheetName val="_"/>
      <sheetName val="BAM_Focus_Brands"/>
      <sheetName val="dep_pre12"/>
      <sheetName val="c3__fto12"/>
      <sheetName val="C3_Base_Tran12"/>
      <sheetName val="pbg_pbgpc_12"/>
      <sheetName val="pbg1_pbg2_pbg312"/>
      <sheetName val="vab_rem12"/>
      <sheetName val="WCOL_INDEX12"/>
      <sheetName val="WCOL_INPUT12"/>
      <sheetName val="MK_24412"/>
      <sheetName val="Validate_List12"/>
      <sheetName val="Share_Price_200212"/>
      <sheetName val="DT_1999_(abst__from_model)12"/>
      <sheetName val="Cost_Elements_to_Use12"/>
      <sheetName val="Base_&amp;_LBO_Assumptions12"/>
      <sheetName val="JAII_Income12"/>
      <sheetName val="Holding_Page12"/>
      <sheetName val="JAII_Balance12"/>
      <sheetName val="Sensitivity_Data12"/>
      <sheetName val="Sales_Seasonality_by_Month12"/>
      <sheetName val="EI_Calc12"/>
      <sheetName val="Dados_BLP12"/>
      <sheetName val="Months_and_Countries12"/>
      <sheetName val="Distribución_D12"/>
      <sheetName val="FX_rates12"/>
      <sheetName val="SAP_Budget_by_Contain_Loc12"/>
      <sheetName val="Projects_list12"/>
      <sheetName val="Target_Book12"/>
      <sheetName val="Données_LMU12"/>
      <sheetName val="Brazil_Sovereign12"/>
      <sheetName val="PPM_Waterfall12"/>
      <sheetName val="Salary_Costs_drivers11"/>
      <sheetName val="data_input11"/>
      <sheetName val="material_data11"/>
      <sheetName val="other_data11"/>
      <sheetName val="Proced_11"/>
      <sheetName val="Bloomberg_(Aluminio)11"/>
      <sheetName val="Bloomberg_(Libor)11"/>
      <sheetName val="Summary_-_LAN11"/>
      <sheetName val="IS_BS_actual11"/>
      <sheetName val="Budget_Summary11"/>
      <sheetName val="Pg_111"/>
      <sheetName val="4__NWABC11"/>
      <sheetName val="Drop_Down11"/>
      <sheetName val="drop_down_list11"/>
      <sheetName val="Cover_Page11"/>
      <sheetName val="User_Input11"/>
      <sheetName val="RG_Depots11"/>
      <sheetName val="Quarterly_LBO_Model11"/>
      <sheetName val="BASE_BUD_Ratios11"/>
      <sheetName val="Ayuda_desplegables10"/>
      <sheetName val="Summary_Input10"/>
      <sheetName val="LE_-_Input10"/>
      <sheetName val="Set_Up10"/>
      <sheetName val="Database_(RUR)Mar_YTD10"/>
      <sheetName val="Resumo_por_P10"/>
      <sheetName val="Mat_x_categ10"/>
      <sheetName val="Mfg-Curr_Prod__-_148"/>
      <sheetName val="G&amp;A-Controllership_-_278"/>
      <sheetName val="G&amp;A-Total_-_258"/>
      <sheetName val="Despliegue_Legal8"/>
      <sheetName val="Schroder_Small_Caps9"/>
      <sheetName val="Completion_Instructions8"/>
      <sheetName val="Selection_Lists8"/>
      <sheetName val="Sales_Package_Input8"/>
      <sheetName val="Load_Data8"/>
      <sheetName val="CUENTAS_SAP8"/>
      <sheetName val="tab_prod8"/>
      <sheetName val="Sales_&amp;_MKT_Cost_8"/>
      <sheetName val="Sales_&amp;_MKT_Cost_AC8"/>
      <sheetName val="OHC+OP+CCC_AC8"/>
      <sheetName val="Maco_AC8"/>
      <sheetName val="Validacion_#18"/>
      <sheetName val="Combined_Financials8"/>
      <sheetName val="Scoring_-_Do_not_update6"/>
      <sheetName val="BS_Flows8"/>
      <sheetName val="SCHEDULE_3_985"/>
      <sheetName val="EXPL_AGUA5"/>
      <sheetName val="Dados_gefab4"/>
      <sheetName val="EU_Comps3"/>
      <sheetName val="Gráficos_volúmen4"/>
      <sheetName val="Entrada_de_Dados"/>
      <sheetName val="ACUMULADOS_OPERARIOS"/>
      <sheetName val="Supporting_Data"/>
      <sheetName val="Cur.Ex Rate"/>
      <sheetName val="Sheet291"/>
      <sheetName val="dep_pre13"/>
      <sheetName val="c3__fto13"/>
      <sheetName val="C3_Base_Tran13"/>
      <sheetName val="pbg_pbgpc_13"/>
      <sheetName val="pbg1_pbg2_pbg313"/>
      <sheetName val="vab_rem13"/>
      <sheetName val="WCOL_INDEX13"/>
      <sheetName val="WCOL_INPUT13"/>
      <sheetName val="Validate_List13"/>
      <sheetName val="Share_Price_200213"/>
      <sheetName val="DT_1999_(abst__from_model)13"/>
      <sheetName val="Cost_Elements_to_Use13"/>
      <sheetName val="MK_24413"/>
      <sheetName val="Base_&amp;_LBO_Assumptions13"/>
      <sheetName val="JAII_Income13"/>
      <sheetName val="Holding_Page13"/>
      <sheetName val="JAII_Balance13"/>
      <sheetName val="Sensitivity_Data13"/>
      <sheetName val="Sales_Seasonality_by_Month13"/>
      <sheetName val="EI_Calc13"/>
      <sheetName val="Dados_BLP13"/>
      <sheetName val="Months_and_Countries13"/>
      <sheetName val="Distribución_D13"/>
      <sheetName val="FX_rates13"/>
      <sheetName val="SAP_Budget_by_Contain_Loc13"/>
      <sheetName val="Projects_list13"/>
      <sheetName val="Target_Book13"/>
      <sheetName val="Données_LMU13"/>
      <sheetName val="Brazil_Sovereign13"/>
      <sheetName val="PPM_Waterfall13"/>
      <sheetName val="Salary_Costs_drivers12"/>
      <sheetName val="material_data12"/>
      <sheetName val="other_data12"/>
      <sheetName val="data_input12"/>
      <sheetName val="Proced_12"/>
      <sheetName val="Bloomberg_(Aluminio)12"/>
      <sheetName val="Bloomberg_(Libor)12"/>
      <sheetName val="Summary_-_LAN12"/>
      <sheetName val="Budget_Summary12"/>
      <sheetName val="IS_BS_actual12"/>
      <sheetName val="Pg_112"/>
      <sheetName val="4__NWABC12"/>
      <sheetName val="Drop_Down12"/>
      <sheetName val="drop_down_list12"/>
      <sheetName val="Cover_Page12"/>
      <sheetName val="User_Input12"/>
      <sheetName val="RG_Depots12"/>
      <sheetName val="Quarterly_LBO_Model12"/>
      <sheetName val="BASE_BUD_Ratios12"/>
      <sheetName val="Summary_Input11"/>
      <sheetName val="Ayuda_desplegables11"/>
      <sheetName val="Resumo_por_P11"/>
      <sheetName val="Set_Up11"/>
      <sheetName val="LE_-_Input11"/>
      <sheetName val="Database_(RUR)Mar_YTD11"/>
      <sheetName val="Mat_x_categ11"/>
      <sheetName val="Schroder_Small_Caps10"/>
      <sheetName val="Mfg-Curr_Prod__-_149"/>
      <sheetName val="G&amp;A-Controllership_-_279"/>
      <sheetName val="G&amp;A-Total_-_259"/>
      <sheetName val="Despliegue_Legal9"/>
      <sheetName val="Completion_Instructions9"/>
      <sheetName val="Selection_Lists9"/>
      <sheetName val="Sales_Package_Input9"/>
      <sheetName val="CUENTAS_SAP9"/>
      <sheetName val="Load_Data9"/>
      <sheetName val="tab_prod9"/>
      <sheetName val="Sales_&amp;_MKT_Cost_9"/>
      <sheetName val="Sales_&amp;_MKT_Cost_AC9"/>
      <sheetName val="OHC+OP+CCC_AC9"/>
      <sheetName val="Maco_AC9"/>
      <sheetName val="Validacion_#19"/>
      <sheetName val="Combined_Financials9"/>
      <sheetName val="Scoring_-_Do_not_update7"/>
      <sheetName val="BS_Flows9"/>
      <sheetName val="Dados_gefab5"/>
      <sheetName val="EU_Comps4"/>
      <sheetName val="Gráficos_volúmen5"/>
      <sheetName val="SCHEDULE_3_986"/>
      <sheetName val="EXPL_AGUA6"/>
      <sheetName val="_1"/>
      <sheetName val="BAM_Focus_Brands1"/>
      <sheetName val="Entrada_de_Dados1"/>
      <sheetName val="ACUMULADOS_OPERARIOS1"/>
      <sheetName val="Supporting_Data1"/>
      <sheetName val="Non-Statistical Sampling"/>
      <sheetName val="AR Drop Downs"/>
      <sheetName val="DropDown"/>
      <sheetName val="Non-Statistical_Sampling"/>
      <sheetName val="AR_Drop_Downs"/>
      <sheetName val="dep_pre14"/>
      <sheetName val="c3__fto14"/>
      <sheetName val="C3_Base_Tran14"/>
      <sheetName val="pbg_pbgpc_14"/>
      <sheetName val="pbg1_pbg2_pbg314"/>
      <sheetName val="vab_rem14"/>
      <sheetName val="WCOL_INDEX14"/>
      <sheetName val="WCOL_INPUT14"/>
      <sheetName val="MK_24414"/>
      <sheetName val="Validate_List14"/>
      <sheetName val="Share_Price_200214"/>
      <sheetName val="DT_1999_(abst__from_model)14"/>
      <sheetName val="Cost_Elements_to_Use14"/>
      <sheetName val="Base_&amp;_LBO_Assumptions14"/>
      <sheetName val="JAII_Income14"/>
      <sheetName val="Holding_Page14"/>
      <sheetName val="JAII_Balance14"/>
      <sheetName val="Sensitivity_Data14"/>
      <sheetName val="Sales_Seasonality_by_Month14"/>
      <sheetName val="EI_Calc14"/>
      <sheetName val="Dados_BLP14"/>
      <sheetName val="Months_and_Countries14"/>
      <sheetName val="Distribución_D14"/>
      <sheetName val="FX_rates14"/>
      <sheetName val="SAP_Budget_by_Contain_Loc14"/>
      <sheetName val="Projects_list14"/>
      <sheetName val="Target_Book14"/>
      <sheetName val="Données_LMU14"/>
      <sheetName val="Brazil_Sovereign14"/>
      <sheetName val="PPM_Waterfall14"/>
      <sheetName val="Salary_Costs_drivers13"/>
      <sheetName val="data_input13"/>
      <sheetName val="material_data13"/>
      <sheetName val="other_data13"/>
      <sheetName val="Proced_13"/>
      <sheetName val="Bloomberg_(Aluminio)13"/>
      <sheetName val="Bloomberg_(Libor)13"/>
      <sheetName val="Summary_-_LAN13"/>
      <sheetName val="Budget_Summary13"/>
      <sheetName val="Pg_113"/>
      <sheetName val="4__NWABC13"/>
      <sheetName val="Drop_Down13"/>
      <sheetName val="drop_down_list13"/>
      <sheetName val="IS_BS_actual13"/>
      <sheetName val="Cover_Page13"/>
      <sheetName val="User_Input13"/>
      <sheetName val="RG_Depots13"/>
      <sheetName val="Quarterly_LBO_Model13"/>
      <sheetName val="BASE_BUD_Ratios13"/>
      <sheetName val="Ayuda_desplegables12"/>
      <sheetName val="Summary_Input12"/>
      <sheetName val="Set_Up12"/>
      <sheetName val="LE_-_Input12"/>
      <sheetName val="Resumo_por_P12"/>
      <sheetName val="Database_(RUR)Mar_YTD12"/>
      <sheetName val="Mat_x_categ12"/>
      <sheetName val="Schroder_Small_Caps11"/>
      <sheetName val="Mfg-Curr_Prod__-_1410"/>
      <sheetName val="G&amp;A-Controllership_-_2710"/>
      <sheetName val="G&amp;A-Total_-_2510"/>
      <sheetName val="Despliegue_Legal10"/>
      <sheetName val="Selection_Lists10"/>
      <sheetName val="Completion_Instructions10"/>
      <sheetName val="Sales_Package_Input10"/>
      <sheetName val="CUENTAS_SAP10"/>
      <sheetName val="Load_Data10"/>
      <sheetName val="tab_prod10"/>
      <sheetName val="Sales_&amp;_MKT_Cost_10"/>
      <sheetName val="Sales_&amp;_MKT_Cost_AC10"/>
      <sheetName val="OHC+OP+CCC_AC10"/>
      <sheetName val="Maco_AC10"/>
      <sheetName val="Validacion_#110"/>
      <sheetName val="Combined_Financials10"/>
      <sheetName val="Scoring_-_Do_not_update8"/>
      <sheetName val="BS_Flows10"/>
      <sheetName val="Dados_gefab6"/>
      <sheetName val="EU_Comps5"/>
      <sheetName val="Gráficos_volúmen6"/>
      <sheetName val="SCHEDULE_3_987"/>
      <sheetName val="EXPL_AGUA7"/>
      <sheetName val="_2"/>
      <sheetName val="BAM_Focus_Brands2"/>
      <sheetName val="Entrada_de_Dados2"/>
      <sheetName val="ACUMULADOS_OPERARIOS2"/>
      <sheetName val="Supporting_Data2"/>
      <sheetName val="Cur_Ex_Rate"/>
      <sheetName val="Non-Statistical_Sampling1"/>
      <sheetName val="AR_Drop_Downs1"/>
      <sheetName val="dep_pre15"/>
      <sheetName val="c3__fto15"/>
      <sheetName val="C3_Base_Tran15"/>
      <sheetName val="pbg_pbgpc_15"/>
      <sheetName val="pbg1_pbg2_pbg315"/>
      <sheetName val="vab_rem15"/>
      <sheetName val="WCOL_INDEX15"/>
      <sheetName val="WCOL_INPUT15"/>
      <sheetName val="MK_24415"/>
      <sheetName val="Validate_List15"/>
      <sheetName val="Share_Price_200215"/>
      <sheetName val="DT_1999_(abst__from_model)15"/>
      <sheetName val="Cost_Elements_to_Use15"/>
      <sheetName val="Base_&amp;_LBO_Assumptions15"/>
      <sheetName val="JAII_Income15"/>
      <sheetName val="Holding_Page15"/>
      <sheetName val="JAII_Balance15"/>
      <sheetName val="Sensitivity_Data15"/>
      <sheetName val="Sales_Seasonality_by_Month15"/>
      <sheetName val="EI_Calc15"/>
      <sheetName val="Dados_BLP15"/>
      <sheetName val="Months_and_Countries15"/>
      <sheetName val="Distribución_D15"/>
      <sheetName val="FX_rates15"/>
      <sheetName val="SAP_Budget_by_Contain_Loc15"/>
      <sheetName val="Projects_list15"/>
      <sheetName val="Target_Book15"/>
      <sheetName val="Données_LMU15"/>
      <sheetName val="Brazil_Sovereign15"/>
      <sheetName val="PPM_Waterfall15"/>
      <sheetName val="Salary_Costs_drivers14"/>
      <sheetName val="data_input14"/>
      <sheetName val="material_data14"/>
      <sheetName val="other_data14"/>
      <sheetName val="Proced_14"/>
      <sheetName val="Bloomberg_(Aluminio)14"/>
      <sheetName val="Bloomberg_(Libor)14"/>
      <sheetName val="Summary_-_LAN14"/>
      <sheetName val="Budget_Summary14"/>
      <sheetName val="Pg_114"/>
      <sheetName val="4__NWABC14"/>
      <sheetName val="Drop_Down14"/>
      <sheetName val="drop_down_list14"/>
      <sheetName val="IS_BS_actual14"/>
      <sheetName val="Cover_Page14"/>
      <sheetName val="User_Input14"/>
      <sheetName val="RG_Depots14"/>
      <sheetName val="Quarterly_LBO_Model14"/>
      <sheetName val="BASE_BUD_Ratios14"/>
      <sheetName val="Ayuda_desplegables13"/>
      <sheetName val="Summary_Input13"/>
      <sheetName val="Set_Up13"/>
      <sheetName val="LE_-_Input13"/>
      <sheetName val="Resumo_por_P13"/>
      <sheetName val="Database_(RUR)Mar_YTD13"/>
      <sheetName val="Mat_x_categ13"/>
      <sheetName val="Schroder_Small_Caps12"/>
      <sheetName val="Mfg-Curr_Prod__-_1411"/>
      <sheetName val="G&amp;A-Controllership_-_2711"/>
      <sheetName val="G&amp;A-Total_-_2511"/>
      <sheetName val="Despliegue_Legal11"/>
      <sheetName val="Selection_Lists11"/>
      <sheetName val="Completion_Instructions11"/>
      <sheetName val="Sales_Package_Input11"/>
      <sheetName val="CUENTAS_SAP11"/>
      <sheetName val="Load_Data11"/>
      <sheetName val="tab_prod11"/>
      <sheetName val="Sales_&amp;_MKT_Cost_11"/>
      <sheetName val="Sales_&amp;_MKT_Cost_AC11"/>
      <sheetName val="OHC+OP+CCC_AC11"/>
      <sheetName val="Maco_AC11"/>
      <sheetName val="Validacion_#111"/>
      <sheetName val="Combined_Financials11"/>
      <sheetName val="Scoring_-_Do_not_update9"/>
      <sheetName val="BS_Flows11"/>
      <sheetName val="SCHEDULE_3_988"/>
      <sheetName val="EXPL_AGUA8"/>
      <sheetName val="Dados_gefab7"/>
      <sheetName val="EU_Comps6"/>
      <sheetName val="Gráficos_volúmen7"/>
      <sheetName val="_3"/>
      <sheetName val="BAM_Focus_Brands3"/>
      <sheetName val="Entrada_de_Dados3"/>
      <sheetName val="ACUMULADOS_OPERARIOS3"/>
      <sheetName val="Supporting_Data3"/>
      <sheetName val="Cur_Ex_Rate1"/>
      <sheetName val="Non-Statistical_Sampling2"/>
      <sheetName val="AR_Drop_Downs2"/>
      <sheetName val="WUS$"/>
      <sheetName val="BDM"/>
      <sheetName val="Vols, GSV"/>
      <sheetName val="Tax"/>
      <sheetName val="VIC"/>
      <sheetName val="Salaries"/>
      <sheetName val="D&amp;A"/>
      <sheetName val="TM1"/>
      <sheetName val="FX"/>
      <sheetName val="TM1_Pivot"/>
      <sheetName val="Vols,_GSV"/>
      <sheetName val="Vols,_GSV1"/>
      <sheetName val="Vols,_GSV2"/>
      <sheetName val="Vols,_GSV3"/>
      <sheetName val="Vols,_GSV4"/>
      <sheetName val="Vols,_GSV5"/>
      <sheetName val="Vols,_GSV7"/>
      <sheetName val="Vols,_GSV6"/>
      <sheetName val="Challenges"/>
      <sheetName val="FY Bgt"/>
      <sheetName val="YTD"/>
      <sheetName val="Mapping"/>
      <sheetName val="AS"/>
      <sheetName val="10IM"/>
      <sheetName val="RAW AUS"/>
      <sheetName val="RAW NZP"/>
      <sheetName val="Cockpit"/>
      <sheetName val="Qs"/>
      <sheetName val="Overview Waterfall"/>
      <sheetName val="Report-Daily"/>
      <sheetName val="MACOMixData"/>
      <sheetName val="NRMixData"/>
      <sheetName val="NRMixData_YTD"/>
      <sheetName val="Value lists"/>
      <sheetName val="SW-TEO"/>
      <sheetName val="Ref"/>
      <sheetName val="dep_pre16"/>
      <sheetName val="c3__fto16"/>
      <sheetName val="C3_Base_Tran16"/>
      <sheetName val="pbg_pbgpc_16"/>
      <sheetName val="pbg1_pbg2_pbg316"/>
      <sheetName val="vab_rem16"/>
      <sheetName val="WCOL_INDEX16"/>
      <sheetName val="WCOL_INPUT16"/>
      <sheetName val="MK_24416"/>
      <sheetName val="Validate_List16"/>
      <sheetName val="Share_Price_200216"/>
      <sheetName val="DT_1999_(abst__from_model)16"/>
      <sheetName val="Cost_Elements_to_Use16"/>
      <sheetName val="Base_&amp;_LBO_Assumptions16"/>
      <sheetName val="JAII_Income16"/>
      <sheetName val="Holding_Page16"/>
      <sheetName val="JAII_Balance16"/>
      <sheetName val="Sensitivity_Data16"/>
      <sheetName val="Sales_Seasonality_by_Month16"/>
      <sheetName val="EI_Calc16"/>
      <sheetName val="Dados_BLP16"/>
      <sheetName val="Months_and_Countries16"/>
      <sheetName val="Distribución_D16"/>
      <sheetName val="FX_rates16"/>
      <sheetName val="SAP_Budget_by_Contain_Loc16"/>
      <sheetName val="Projects_list16"/>
      <sheetName val="Target_Book16"/>
      <sheetName val="Données_LMU16"/>
      <sheetName val="Brazil_Sovereign16"/>
      <sheetName val="PPM_Waterfall16"/>
      <sheetName val="Salary_Costs_drivers15"/>
      <sheetName val="data_input15"/>
      <sheetName val="material_data15"/>
      <sheetName val="other_data15"/>
      <sheetName val="Bloomberg_(Aluminio)15"/>
      <sheetName val="Bloomberg_(Libor)15"/>
      <sheetName val="Summary_-_LAN15"/>
      <sheetName val="Proced_15"/>
      <sheetName val="IS_BS_actual15"/>
      <sheetName val="Budget_Summary15"/>
      <sheetName val="Pg_115"/>
      <sheetName val="4__NWABC15"/>
      <sheetName val="Drop_Down15"/>
      <sheetName val="drop_down_list15"/>
      <sheetName val="Cover_Page15"/>
      <sheetName val="User_Input15"/>
      <sheetName val="RG_Depots15"/>
      <sheetName val="Quarterly_LBO_Model15"/>
      <sheetName val="BASE_BUD_Ratios15"/>
      <sheetName val="Ayuda_desplegables14"/>
      <sheetName val="Summary_Input14"/>
      <sheetName val="Set_Up14"/>
      <sheetName val="LE_-_Input14"/>
      <sheetName val="Resumo_por_P14"/>
      <sheetName val="Database_(RUR)Mar_YTD14"/>
      <sheetName val="Mat_x_categ14"/>
      <sheetName val="Schroder_Small_Caps13"/>
      <sheetName val="Mfg-Curr_Prod__-_1412"/>
      <sheetName val="G&amp;A-Controllership_-_2712"/>
      <sheetName val="G&amp;A-Total_-_2512"/>
      <sheetName val="Despliegue_Legal12"/>
      <sheetName val="Completion_Instructions12"/>
      <sheetName val="Selection_Lists12"/>
      <sheetName val="Sales_Package_Input12"/>
      <sheetName val="CUENTAS_SAP12"/>
      <sheetName val="Load_Data12"/>
      <sheetName val="tab_prod12"/>
      <sheetName val="Sales_&amp;_MKT_Cost_12"/>
      <sheetName val="Sales_&amp;_MKT_Cost_AC12"/>
      <sheetName val="OHC+OP+CCC_AC12"/>
      <sheetName val="Maco_AC12"/>
      <sheetName val="Validacion_#112"/>
      <sheetName val="Combined_Financials12"/>
      <sheetName val="Scoring_-_Do_not_update10"/>
      <sheetName val="BS_Flows12"/>
      <sheetName val="SCHEDULE_3_989"/>
      <sheetName val="EXPL_AGUA9"/>
      <sheetName val="Dados_gefab8"/>
      <sheetName val="EU_Comps7"/>
      <sheetName val="Gráficos_volúmen8"/>
      <sheetName val="_4"/>
      <sheetName val="BAM_Focus_Brands4"/>
      <sheetName val="Entrada_de_Dados4"/>
      <sheetName val="ACUMULADOS_OPERARIOS4"/>
      <sheetName val="Supporting_Data4"/>
      <sheetName val="Cur_Ex_Rate2"/>
      <sheetName val="Non-Statistical_Sampling3"/>
      <sheetName val="AR_Drop_Downs3"/>
      <sheetName val="Vols,_GSV8"/>
      <sheetName val="ARMADO"/>
      <sheetName val="Income SAP PCS"/>
      <sheetName val="Income SAP LD"/>
      <sheetName val="Income SAP N S H"/>
      <sheetName val="dep_pre17"/>
      <sheetName val="c3__fto17"/>
      <sheetName val="C3_Base_Tran17"/>
      <sheetName val="pbg_pbgpc_17"/>
      <sheetName val="pbg1_pbg2_pbg317"/>
      <sheetName val="vab_rem17"/>
      <sheetName val="WCOL_INDEX17"/>
      <sheetName val="WCOL_INPUT17"/>
      <sheetName val="MK_24417"/>
      <sheetName val="Validate_List17"/>
      <sheetName val="Share_Price_200217"/>
      <sheetName val="DT_1999_(abst__from_model)17"/>
      <sheetName val="Cost_Elements_to_Use17"/>
      <sheetName val="Base_&amp;_LBO_Assumptions17"/>
      <sheetName val="JAII_Income17"/>
      <sheetName val="Holding_Page17"/>
      <sheetName val="JAII_Balance17"/>
      <sheetName val="Sensitivity_Data17"/>
      <sheetName val="Sales_Seasonality_by_Month17"/>
      <sheetName val="EI_Calc17"/>
      <sheetName val="Dados_BLP17"/>
      <sheetName val="Months_and_Countries17"/>
      <sheetName val="Distribución_D17"/>
      <sheetName val="FX_rates17"/>
      <sheetName val="SAP_Budget_by_Contain_Loc17"/>
      <sheetName val="Projects_list17"/>
      <sheetName val="Target_Book17"/>
      <sheetName val="Données_LMU17"/>
      <sheetName val="Brazil_Sovereign17"/>
      <sheetName val="PPM_Waterfall17"/>
      <sheetName val="Salary_Costs_drivers16"/>
      <sheetName val="data_input16"/>
      <sheetName val="material_data16"/>
      <sheetName val="other_data16"/>
      <sheetName val="Proced_16"/>
      <sheetName val="Bloomberg_(Aluminio)16"/>
      <sheetName val="Bloomberg_(Libor)16"/>
      <sheetName val="Summary_-_LAN16"/>
      <sheetName val="IS_BS_actual16"/>
      <sheetName val="Budget_Summary16"/>
      <sheetName val="Pg_116"/>
      <sheetName val="4__NWABC16"/>
      <sheetName val="Drop_Down16"/>
      <sheetName val="drop_down_list16"/>
      <sheetName val="Cover_Page16"/>
      <sheetName val="User_Input16"/>
      <sheetName val="RG_Depots16"/>
      <sheetName val="Quarterly_LBO_Model16"/>
      <sheetName val="BASE_BUD_Ratios16"/>
      <sheetName val="Ayuda_desplegables15"/>
      <sheetName val="Summary_Input15"/>
      <sheetName val="LE_-_Input15"/>
      <sheetName val="Set_Up15"/>
      <sheetName val="Database_(RUR)Mar_YTD15"/>
      <sheetName val="Resumo_por_P15"/>
      <sheetName val="Mat_x_categ15"/>
      <sheetName val="Mfg-Curr_Prod__-_1413"/>
      <sheetName val="G&amp;A-Controllership_-_2713"/>
      <sheetName val="G&amp;A-Total_-_2513"/>
      <sheetName val="Despliegue_Legal13"/>
      <sheetName val="Schroder_Small_Caps14"/>
      <sheetName val="Completion_Instructions13"/>
      <sheetName val="Selection_Lists13"/>
      <sheetName val="Sales_Package_Input13"/>
      <sheetName val="Load_Data13"/>
      <sheetName val="CUENTAS_SAP13"/>
      <sheetName val="tab_prod13"/>
      <sheetName val="Sales_&amp;_MKT_Cost_13"/>
      <sheetName val="Sales_&amp;_MKT_Cost_AC13"/>
      <sheetName val="OHC+OP+CCC_AC13"/>
      <sheetName val="Maco_AC13"/>
      <sheetName val="Validacion_#113"/>
      <sheetName val="Combined_Financials13"/>
      <sheetName val="Scoring_-_Do_not_update11"/>
      <sheetName val="BS_Flows13"/>
      <sheetName val="SCHEDULE_3_9810"/>
      <sheetName val="EXPL_AGUA10"/>
      <sheetName val="Dados_gefab9"/>
      <sheetName val="EU_Comps8"/>
      <sheetName val="Gráficos_volúmen9"/>
      <sheetName val="_5"/>
      <sheetName val="BAM_Focus_Brands5"/>
      <sheetName val="Entrada_de_Dados5"/>
      <sheetName val="ACUMULADOS_OPERARIOS5"/>
      <sheetName val="Supporting_Data5"/>
      <sheetName val="Cur_Ex_Rate3"/>
      <sheetName val="Non-Statistical_Sampling4"/>
      <sheetName val="AR_Drop_Downs4"/>
      <sheetName val="Vols,_GSV9"/>
      <sheetName val="dep_pre18"/>
      <sheetName val="c3__fto18"/>
      <sheetName val="C3_Base_Tran18"/>
      <sheetName val="pbg_pbgpc_18"/>
      <sheetName val="pbg1_pbg2_pbg318"/>
      <sheetName val="vab_rem18"/>
      <sheetName val="WCOL_INDEX18"/>
      <sheetName val="WCOL_INPUT18"/>
      <sheetName val="MK_24418"/>
      <sheetName val="Validate_List18"/>
      <sheetName val="Share_Price_200218"/>
      <sheetName val="DT_1999_(abst__from_model)18"/>
      <sheetName val="Cost_Elements_to_Use18"/>
      <sheetName val="Base_&amp;_LBO_Assumptions18"/>
      <sheetName val="JAII_Income18"/>
      <sheetName val="Holding_Page18"/>
      <sheetName val="JAII_Balance18"/>
      <sheetName val="Sensitivity_Data18"/>
      <sheetName val="Sales_Seasonality_by_Month18"/>
      <sheetName val="EI_Calc18"/>
      <sheetName val="Dados_BLP18"/>
      <sheetName val="Months_and_Countries18"/>
      <sheetName val="Distribución_D18"/>
      <sheetName val="FX_rates18"/>
      <sheetName val="SAP_Budget_by_Contain_Loc18"/>
      <sheetName val="Projects_list18"/>
      <sheetName val="Target_Book18"/>
      <sheetName val="Données_LMU18"/>
      <sheetName val="Brazil_Sovereign18"/>
      <sheetName val="PPM_Waterfall18"/>
      <sheetName val="Salary_Costs_drivers17"/>
      <sheetName val="data_input17"/>
      <sheetName val="material_data17"/>
      <sheetName val="other_data17"/>
      <sheetName val="Proced_17"/>
      <sheetName val="Bloomberg_(Aluminio)17"/>
      <sheetName val="Bloomberg_(Libor)17"/>
      <sheetName val="Summary_-_LAN17"/>
      <sheetName val="IS_BS_actual17"/>
      <sheetName val="Budget_Summary17"/>
      <sheetName val="Pg_117"/>
      <sheetName val="4__NWABC17"/>
      <sheetName val="Drop_Down17"/>
      <sheetName val="drop_down_list17"/>
      <sheetName val="Cover_Page17"/>
      <sheetName val="User_Input17"/>
      <sheetName val="RG_Depots17"/>
      <sheetName val="Quarterly_LBO_Model17"/>
      <sheetName val="BASE_BUD_Ratios17"/>
      <sheetName val="Ayuda_desplegables16"/>
      <sheetName val="Summary_Input16"/>
      <sheetName val="LE_-_Input16"/>
      <sheetName val="Set_Up16"/>
      <sheetName val="Database_(RUR)Mar_YTD16"/>
      <sheetName val="Resumo_por_P16"/>
      <sheetName val="Mat_x_categ16"/>
      <sheetName val="Mfg-Curr_Prod__-_1414"/>
      <sheetName val="G&amp;A-Controllership_-_2714"/>
      <sheetName val="G&amp;A-Total_-_2514"/>
      <sheetName val="Despliegue_Legal14"/>
      <sheetName val="Schroder_Small_Caps15"/>
      <sheetName val="Completion_Instructions14"/>
      <sheetName val="Selection_Lists14"/>
      <sheetName val="Sales_Package_Input14"/>
      <sheetName val="Load_Data14"/>
      <sheetName val="CUENTAS_SAP14"/>
      <sheetName val="tab_prod14"/>
      <sheetName val="Sales_&amp;_MKT_Cost_14"/>
      <sheetName val="Sales_&amp;_MKT_Cost_AC14"/>
      <sheetName val="OHC+OP+CCC_AC14"/>
      <sheetName val="Maco_AC14"/>
      <sheetName val="Validacion_#114"/>
      <sheetName val="Combined_Financials14"/>
      <sheetName val="Scoring_-_Do_not_update12"/>
      <sheetName val="BS_Flows14"/>
      <sheetName val="SCHEDULE_3_9811"/>
      <sheetName val="EXPL_AGUA11"/>
      <sheetName val="Dados_gefab10"/>
      <sheetName val="EU_Comps9"/>
      <sheetName val="Gráficos_volúmen10"/>
      <sheetName val="_6"/>
      <sheetName val="BAM_Focus_Brands6"/>
      <sheetName val="Entrada_de_Dados6"/>
      <sheetName val="ACUMULADOS_OPERARIOS6"/>
      <sheetName val="Supporting_Data6"/>
      <sheetName val="Cur_Ex_Rate4"/>
      <sheetName val="Non-Statistical_Sampling5"/>
      <sheetName val="AR_Drop_Downs5"/>
      <sheetName val="Vols,_GSV10"/>
      <sheetName val="FY_Bgt"/>
      <sheetName val="RAW_AUS"/>
      <sheetName val="RAW_NZP"/>
      <sheetName val="Overview_Waterfall"/>
      <sheetName val="Value_lists"/>
      <sheetName val="GraphData"/>
      <sheetName val="Chart data"/>
      <sheetName val="calcs"/>
      <sheetName val="1 月"/>
      <sheetName val="TT打卡"/>
      <sheetName val="LBO"/>
      <sheetName val="dep_pre19"/>
      <sheetName val="c3__fto19"/>
      <sheetName val="C3_Base_Tran19"/>
      <sheetName val="pbg_pbgpc_19"/>
      <sheetName val="pbg1_pbg2_pbg319"/>
      <sheetName val="vab_rem19"/>
      <sheetName val="WCOL_INDEX19"/>
      <sheetName val="WCOL_INPUT19"/>
      <sheetName val="MK_24419"/>
      <sheetName val="Validate_List19"/>
      <sheetName val="DT_1999_(abst__from_model)19"/>
      <sheetName val="Share_Price_200219"/>
      <sheetName val="Cost_Elements_to_Use19"/>
      <sheetName val="Sales_Seasonality_by_Month19"/>
      <sheetName val="Base_&amp;_LBO_Assumptions19"/>
      <sheetName val="JAII_Income19"/>
      <sheetName val="Holding_Page19"/>
      <sheetName val="JAII_Balance19"/>
      <sheetName val="Sensitivity_Data19"/>
      <sheetName val="EI_Calc19"/>
      <sheetName val="Dados_BLP19"/>
      <sheetName val="Months_and_Countries19"/>
      <sheetName val="Distribución_D19"/>
      <sheetName val="FX_rates19"/>
      <sheetName val="SAP_Budget_by_Contain_Loc19"/>
      <sheetName val="Projects_list19"/>
      <sheetName val="Target_Book19"/>
      <sheetName val="Données_LMU19"/>
      <sheetName val="Brazil_Sovereign19"/>
      <sheetName val="PPM_Waterfall19"/>
      <sheetName val="data_input18"/>
      <sheetName val="Salary_Costs_drivers18"/>
      <sheetName val="material_data18"/>
      <sheetName val="other_data18"/>
      <sheetName val="Proced_18"/>
      <sheetName val="Bloomberg_(Aluminio)18"/>
      <sheetName val="Bloomberg_(Libor)18"/>
      <sheetName val="Summary_-_LAN18"/>
      <sheetName val="Budget_Summary18"/>
      <sheetName val="Pg_118"/>
      <sheetName val="4__NWABC18"/>
      <sheetName val="Drop_Down18"/>
      <sheetName val="drop_down_list18"/>
      <sheetName val="IS_BS_actual18"/>
      <sheetName val="Cover_Page18"/>
      <sheetName val="User_Input18"/>
      <sheetName val="RG_Depots18"/>
      <sheetName val="Quarterly_LBO_Model18"/>
      <sheetName val="BASE_BUD_Ratios18"/>
      <sheetName val="Ayuda_desplegables17"/>
      <sheetName val="Summary_Input17"/>
      <sheetName val="Set_Up17"/>
      <sheetName val="LE_-_Input17"/>
      <sheetName val="Resumo_por_P17"/>
      <sheetName val="Database_(RUR)Mar_YTD17"/>
      <sheetName val="Mat_x_categ17"/>
      <sheetName val="Schroder_Small_Caps16"/>
      <sheetName val="Mfg-Curr_Prod__-_1415"/>
      <sheetName val="G&amp;A-Controllership_-_2715"/>
      <sheetName val="G&amp;A-Total_-_2515"/>
      <sheetName val="Despliegue_Legal15"/>
      <sheetName val="Completion_Instructions15"/>
      <sheetName val="Selection_Lists15"/>
      <sheetName val="Sales_Package_Input15"/>
      <sheetName val="CUENTAS_SAP15"/>
      <sheetName val="Load_Data15"/>
      <sheetName val="tab_prod15"/>
      <sheetName val="Sales_&amp;_MKT_Cost_15"/>
      <sheetName val="Sales_&amp;_MKT_Cost_AC15"/>
      <sheetName val="OHC+OP+CCC_AC15"/>
      <sheetName val="Maco_AC15"/>
      <sheetName val="Validacion_#115"/>
      <sheetName val="Combined_Financials15"/>
      <sheetName val="Scoring_-_Do_not_update13"/>
      <sheetName val="BS_Flows15"/>
      <sheetName val="SCHEDULE_3_9812"/>
      <sheetName val="EXPL_AGUA12"/>
      <sheetName val="Dados_gefab11"/>
      <sheetName val="EU_Comps10"/>
      <sheetName val="Gráficos_volúmen11"/>
      <sheetName val="_7"/>
      <sheetName val="BAM_Focus_Brands7"/>
      <sheetName val="Entrada_de_Dados7"/>
      <sheetName val="ACUMULADOS_OPERARIOS7"/>
      <sheetName val="Supporting_Data7"/>
      <sheetName val="Cur_Ex_Rate5"/>
      <sheetName val="Non-Statistical_Sampling6"/>
      <sheetName val="AR_Drop_Downs6"/>
      <sheetName val="Vols,_GSV11"/>
      <sheetName val="T-LIST"/>
      <sheetName val="은행"/>
      <sheetName val="1_Overview"/>
      <sheetName val="FY_Bgt1"/>
      <sheetName val="RAW_AUS1"/>
      <sheetName val="RAW_NZP1"/>
      <sheetName val="Overview_Waterfall1"/>
      <sheetName val="Value_lists1"/>
      <sheetName val="Chart_data"/>
      <sheetName val="1_月"/>
      <sheetName val="FJJX Bud_IB"/>
      <sheetName val="Main"/>
      <sheetName val="eqpmad2"/>
      <sheetName val="Toolbox"/>
      <sheetName val="Interdependent CAT"/>
      <sheetName val="Sum"/>
      <sheetName val="dep_pre20"/>
      <sheetName val="c3__fto20"/>
      <sheetName val="C3_Base_Tran20"/>
      <sheetName val="pbg_pbgpc_20"/>
      <sheetName val="pbg1_pbg2_pbg320"/>
      <sheetName val="vab_rem20"/>
      <sheetName val="WCOL_INDEX20"/>
      <sheetName val="WCOL_INPUT20"/>
      <sheetName val="MK_24420"/>
      <sheetName val="Validate_List20"/>
      <sheetName val="Share_Price_200220"/>
      <sheetName val="DT_1999_(abst__from_model)20"/>
      <sheetName val="Cost_Elements_to_Use20"/>
      <sheetName val="Base_&amp;_LBO_Assumptions20"/>
      <sheetName val="JAII_Income20"/>
      <sheetName val="Holding_Page20"/>
      <sheetName val="JAII_Balance20"/>
      <sheetName val="Sensitivity_Data20"/>
      <sheetName val="Sales_Seasonality_by_Month20"/>
      <sheetName val="EI_Calc20"/>
      <sheetName val="Dados_BLP20"/>
      <sheetName val="Months_and_Countries20"/>
      <sheetName val="Distribución_D20"/>
      <sheetName val="FX_rates20"/>
      <sheetName val="SAP_Budget_by_Contain_Loc20"/>
      <sheetName val="Projects_list20"/>
      <sheetName val="Target_Book20"/>
      <sheetName val="Données_LMU20"/>
      <sheetName val="Brazil_Sovereign20"/>
      <sheetName val="PPM_Waterfall20"/>
      <sheetName val="Salary_Costs_drivers19"/>
      <sheetName val="data_input19"/>
      <sheetName val="material_data19"/>
      <sheetName val="other_data19"/>
      <sheetName val="Proced_19"/>
      <sheetName val="Bloomberg_(Aluminio)19"/>
      <sheetName val="Bloomberg_(Libor)19"/>
      <sheetName val="Summary_-_LAN19"/>
      <sheetName val="IS_BS_actual19"/>
      <sheetName val="Budget_Summary19"/>
      <sheetName val="Pg_119"/>
      <sheetName val="4__NWABC19"/>
      <sheetName val="Drop_Down19"/>
      <sheetName val="drop_down_list19"/>
      <sheetName val="Cover_Page19"/>
      <sheetName val="User_Input19"/>
      <sheetName val="RG_Depots19"/>
      <sheetName val="Quarterly_LBO_Model19"/>
      <sheetName val="BASE_BUD_Ratios19"/>
      <sheetName val="Ayuda_desplegables18"/>
      <sheetName val="Summary_Input18"/>
      <sheetName val="LE_-_Input18"/>
      <sheetName val="Set_Up18"/>
      <sheetName val="Database_(RUR)Mar_YTD18"/>
      <sheetName val="Resumo_por_P18"/>
      <sheetName val="Mat_x_categ18"/>
      <sheetName val="Schroder_Small_Caps17"/>
      <sheetName val="Mfg-Curr_Prod__-_1416"/>
      <sheetName val="G&amp;A-Controllership_-_2716"/>
      <sheetName val="G&amp;A-Total_-_2516"/>
      <sheetName val="Despliegue_Legal16"/>
      <sheetName val="Completion_Instructions16"/>
      <sheetName val="Selection_Lists16"/>
      <sheetName val="Sales_Package_Input16"/>
      <sheetName val="Load_Data16"/>
      <sheetName val="CUENTAS_SAP16"/>
      <sheetName val="tab_prod16"/>
      <sheetName val="Sales_&amp;_MKT_Cost_16"/>
      <sheetName val="Sales_&amp;_MKT_Cost_AC16"/>
      <sheetName val="OHC+OP+CCC_AC16"/>
      <sheetName val="Maco_AC16"/>
      <sheetName val="Validacion_#116"/>
      <sheetName val="Combined_Financials16"/>
      <sheetName val="Scoring_-_Do_not_update14"/>
      <sheetName val="BS_Flows16"/>
      <sheetName val="SCHEDULE_3_9813"/>
      <sheetName val="EXPL_AGUA13"/>
      <sheetName val="Dados_gefab12"/>
      <sheetName val="EU_Comps11"/>
      <sheetName val="Gráficos_volúmen12"/>
      <sheetName val="_8"/>
      <sheetName val="BAM_Focus_Brands8"/>
      <sheetName val="Entrada_de_Dados8"/>
      <sheetName val="ACUMULADOS_OPERARIOS8"/>
      <sheetName val="Supporting_Data8"/>
      <sheetName val="Cur_Ex_Rate6"/>
      <sheetName val="Non-Statistical_Sampling7"/>
      <sheetName val="AR_Drop_Downs7"/>
      <sheetName val="Vols,_GSV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/>
      <sheetData sheetId="274" refreshError="1"/>
      <sheetData sheetId="275" refreshError="1"/>
      <sheetData sheetId="276" refreshError="1"/>
      <sheetData sheetId="277" refreshError="1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 refreshError="1"/>
      <sheetData sheetId="606" refreshError="1"/>
      <sheetData sheetId="607" refreshError="1"/>
      <sheetData sheetId="608" refreshError="1"/>
      <sheetData sheetId="609"/>
      <sheetData sheetId="610"/>
      <sheetData sheetId="611" refreshError="1"/>
      <sheetData sheetId="612" refreshError="1"/>
      <sheetData sheetId="613" refreshError="1"/>
      <sheetData sheetId="614" refreshError="1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 refreshError="1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/>
      <sheetData sheetId="946" refreshError="1"/>
      <sheetData sheetId="947" refreshError="1"/>
      <sheetData sheetId="948"/>
      <sheetData sheetId="949"/>
      <sheetData sheetId="950" refreshError="1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/>
      <sheetData sheetId="1035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 refreshError="1"/>
      <sheetData sheetId="1127" refreshError="1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 refreshError="1"/>
      <sheetData sheetId="1214" refreshError="1"/>
      <sheetData sheetId="1215" refreshError="1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 refreshError="1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 refreshError="1"/>
      <sheetData sheetId="1520" refreshError="1"/>
      <sheetData sheetId="1521" refreshError="1"/>
      <sheetData sheetId="1522" refreshError="1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 refreshError="1"/>
      <sheetData sheetId="1707"/>
      <sheetData sheetId="1708"/>
      <sheetData sheetId="1709" refreshError="1"/>
      <sheetData sheetId="1710" refreshError="1"/>
      <sheetData sheetId="1711" refreshError="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 refreshError="1"/>
      <sheetData sheetId="1802" refreshError="1"/>
      <sheetData sheetId="1803" refreshError="1"/>
      <sheetData sheetId="1804"/>
      <sheetData sheetId="1805"/>
      <sheetData sheetId="1806"/>
      <sheetData sheetId="1807"/>
      <sheetData sheetId="1808"/>
      <sheetData sheetId="1809"/>
      <sheetData sheetId="1810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ield Curve"/>
      <sheetName val="Yield Curve (2)"/>
      <sheetName val="dados"/>
      <sheetName val="Brazil Sovereign"/>
      <sheetName val="Brazil Swap"/>
      <sheetName val="Sheet2"/>
      <sheetName val="Treasuries"/>
      <sheetName val="Industrials"/>
      <sheetName val="Price"/>
      <sheetName val="Price (2)"/>
      <sheetName val="Feriados"/>
      <sheetName val="Sheet1"/>
      <sheetName val="Dados Cash"/>
      <sheetName val="MOL"/>
      <sheetName val="ACA"/>
      <sheetName val="PackAppear. (2)"/>
      <sheetName val="DePara"/>
      <sheetName val="ASA"/>
      <sheetName val="BH"/>
      <sheetName val="Resu.Capex"/>
      <sheetName val="Capex"/>
      <sheetName val="CNQ"/>
      <sheetName val="CV"/>
      <sheetName val="Disp"/>
      <sheetName val="Efic"/>
      <sheetName val="Efic.Consumo"/>
      <sheetName val="Meta_Fábricas"/>
      <sheetName val="Graf"/>
      <sheetName val="ICD's"/>
      <sheetName val="Micro_Fisico_Index"/>
      <sheetName val="Indisp"/>
      <sheetName val="Key_Points"/>
      <sheetName val="Meta_Individuais"/>
      <sheetName val="NS"/>
      <sheetName val="OOO"/>
      <sheetName val="OOO (2)"/>
      <sheetName val="PackAppear."/>
      <sheetName val="Paineis"/>
      <sheetName val="PEF_Mes"/>
      <sheetName val="PQCM"/>
      <sheetName val="PQCM (2)"/>
      <sheetName val="PQRM"/>
      <sheetName val="PQRM (2)"/>
      <sheetName val="Prod"/>
      <sheetName val="Qualid"/>
      <sheetName val="Res.Executivo"/>
      <sheetName val="SAC"/>
      <sheetName val="TMA"/>
      <sheetName val="TO"/>
      <sheetName val="Vol"/>
      <sheetName val="Sig Cycles_Accts &amp; Processes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Pleitos"/>
      <sheetName val="Data"/>
      <sheetName val="Calc 1"/>
      <sheetName val="Dotaciones"/>
      <sheetName val="Yield_Curve"/>
      <sheetName val="Yield_Curve_(2)"/>
      <sheetName val="Brazil_Sovereign"/>
      <sheetName val="Brazil_Swap"/>
      <sheetName val="Price_(2)"/>
      <sheetName val="Dados_Cash"/>
      <sheetName val="Worksheet"/>
      <sheetName val="Tudo"/>
      <sheetName val="Relatório"/>
      <sheetName val="Lists"/>
      <sheetName val="Step2_Histogram"/>
      <sheetName val="Recon_Pivot"/>
      <sheetName val="Step2_Correlation"/>
      <sheetName val="3-column"/>
      <sheetName val="FLOWCHART-03"/>
      <sheetName val="Yield_Curve1"/>
      <sheetName val="Yield_Curve_(2)1"/>
      <sheetName val="Brazil_Sovereign1"/>
      <sheetName val="Brazil_Swap1"/>
      <sheetName val="Price_(2)1"/>
      <sheetName val="Dados_Cash1"/>
      <sheetName val="PackAppear__(2)"/>
      <sheetName val="Resu_Capex"/>
      <sheetName val="Efic_Consumo"/>
      <sheetName val="OOO_(2)"/>
      <sheetName val="PackAppear_"/>
      <sheetName val="PQCM_(2)"/>
      <sheetName val="PQRM_(2)"/>
      <sheetName val="Res_Executivo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Sig_Cycles_Accts_&amp;_Processes"/>
      <sheetName val="Calc_1"/>
      <sheetName val="Yield_Curve2"/>
      <sheetName val="Yield_Curve_(2)2"/>
      <sheetName val="Brazil_Sovereign2"/>
      <sheetName val="Brazil_Swap2"/>
      <sheetName val="Price_(2)2"/>
      <sheetName val="Dados_Cash2"/>
      <sheetName val="PackAppear__(2)1"/>
      <sheetName val="Resu_Capex1"/>
      <sheetName val="Efic_Consumo1"/>
      <sheetName val="OOO_(2)1"/>
      <sheetName val="PackAppear_1"/>
      <sheetName val="PQCM_(2)1"/>
      <sheetName val="PQRM_(2)1"/>
      <sheetName val="Res_Executivo1"/>
      <sheetName val="Sig_Cycles_Accts_&amp;_Processes1"/>
      <sheetName val="2001_10_Cerv1"/>
      <sheetName val="PLAN_SAC_Cerveja1"/>
      <sheetName val="PLAN_SAC_RefrigeNanc1"/>
      <sheetName val="2001_04_Cerv1"/>
      <sheetName val="Farol_SAC_Cerveja1"/>
      <sheetName val="2001_04_Nanc1"/>
      <sheetName val="Farol_SAC_Refrigenanc1"/>
      <sheetName val="Calc_11"/>
      <sheetName val="Parameters"/>
      <sheetName val="WF China_YTD"/>
      <sheetName val="VOLUME"/>
      <sheetName val="Curve Comparisons"/>
      <sheetName val="bud99"/>
      <sheetName val="Riscos-Oport."/>
      <sheetName val="RET"/>
      <sheetName val="Parametrização"/>
      <sheetName val=""/>
      <sheetName val="[Curve Comp_x0000__x0000__x0000__x0000__x0000__x0000__x0000__x0000__x0000__x0000__x0000__x0000_Brazil S"/>
      <sheetName val="_Curve Comp"/>
      <sheetName val="Relatório SDG"/>
      <sheetName val="Hoja2"/>
      <sheetName val="Summary"/>
      <sheetName val="Reference"/>
      <sheetName val="Engine"/>
      <sheetName val="Assumptions"/>
      <sheetName val="Validate"/>
      <sheetName val="Financials"/>
      <sheetName val="EI Calc"/>
      <sheetName val="기간별 판매진척"/>
      <sheetName val="Table"/>
      <sheetName val="Graph"/>
      <sheetName val="요일 테이블"/>
      <sheetName val="기간별_판매진척"/>
      <sheetName val="Curve_Comparisons"/>
      <sheetName val="요일_테이블"/>
      <sheetName val="Controls"/>
      <sheetName val="LBO Model"/>
      <sheetName val="Balance Fin ajust 2004"/>
      <sheetName val="Formulario"/>
      <sheetName val="bdic07"/>
      <sheetName val="EFECTIVO"/>
      <sheetName val="Bloomberg"/>
      <sheetName val="DATOS PARA INTERPOLACION"/>
      <sheetName val="DPN VALUE"/>
      <sheetName val="EVOLUMERCC"/>
      <sheetName val="PROM"/>
      <sheetName val="Tabla de amortización"/>
      <sheetName val="B-111"/>
      <sheetName val="은행"/>
      <sheetName val="[Curve Comp????????????Brazil S"/>
      <sheetName val="Yield_Curve3"/>
      <sheetName val="Yield_Curve_(2)3"/>
      <sheetName val="Brazil_Sovereign3"/>
      <sheetName val="Brazil_Swap3"/>
      <sheetName val="Price_(2)3"/>
      <sheetName val="Dados_Cash3"/>
      <sheetName val="PackAppear__(2)2"/>
      <sheetName val="Resu_Capex2"/>
      <sheetName val="Efic_Consumo2"/>
      <sheetName val="OOO_(2)2"/>
      <sheetName val="PackAppear_2"/>
      <sheetName val="PQCM_(2)2"/>
      <sheetName val="PQRM_(2)2"/>
      <sheetName val="Res_Executivo2"/>
      <sheetName val="2001_10_Cerv2"/>
      <sheetName val="PLAN_SAC_Cerveja2"/>
      <sheetName val="PLAN_SAC_RefrigeNanc2"/>
      <sheetName val="2001_04_Cerv2"/>
      <sheetName val="Farol_SAC_Cerveja2"/>
      <sheetName val="2001_04_Nanc2"/>
      <sheetName val="Farol_SAC_Refrigenanc2"/>
      <sheetName val="Sig_Cycles_Accts_&amp;_Processes2"/>
      <sheetName val="Calc_12"/>
      <sheetName val="Riscos-Oport_"/>
      <sheetName val="WF_China_YTD"/>
      <sheetName val="Database"/>
      <sheetName val="MATRICES"/>
      <sheetName val="Plan5"/>
      <sheetName val="Diária"/>
      <sheetName val="Plan2"/>
      <sheetName val="Plan3"/>
      <sheetName val="Coleta dados"/>
      <sheetName val="IV Confiabilidade"/>
      <sheetName val="IV Indisponibilidade"/>
      <sheetName val="Check R. Diária"/>
      <sheetName val="Histórico_Check R. Diária"/>
      <sheetName val="Yield_Curve4"/>
      <sheetName val="Yield_Curve_(2)4"/>
      <sheetName val="Brazil_Sovereign4"/>
      <sheetName val="Brazil_Swap4"/>
      <sheetName val="Price_(2)4"/>
      <sheetName val="Dados_Cash4"/>
      <sheetName val="PackAppear__(2)3"/>
      <sheetName val="Resu_Capex3"/>
      <sheetName val="Efic_Consumo3"/>
      <sheetName val="OOO_(2)3"/>
      <sheetName val="PackAppear_3"/>
      <sheetName val="PQCM_(2)3"/>
      <sheetName val="PQRM_(2)3"/>
      <sheetName val="Res_Executivo3"/>
      <sheetName val="2001_10_Cerv3"/>
      <sheetName val="PLAN_SAC_Cerveja3"/>
      <sheetName val="PLAN_SAC_RefrigeNanc3"/>
      <sheetName val="2001_04_Cerv3"/>
      <sheetName val="Farol_SAC_Cerveja3"/>
      <sheetName val="2001_04_Nanc3"/>
      <sheetName val="Farol_SAC_Refrigenanc3"/>
      <sheetName val="Sig_Cycles_Accts_&amp;_Processes3"/>
      <sheetName val="Calc_13"/>
      <sheetName val="WF_China_YTD1"/>
      <sheetName val="Curve_Comparisons1"/>
      <sheetName val="Riscos-Oport_1"/>
      <sheetName val="[Curve_CompBrazil_S"/>
      <sheetName val="_Curve_Comp"/>
      <sheetName val="Relatório_SDG"/>
      <sheetName val="기간별_판매진척1"/>
      <sheetName val="요일_테이블1"/>
      <sheetName val="EI_Calc"/>
      <sheetName val="LBO_Model"/>
      <sheetName val="[Curve_Comp????????????Brazil_S"/>
      <sheetName val="Balance_Fin_ajust_2004"/>
      <sheetName val="DATOS_PARA_INTERPOLACION"/>
      <sheetName val="DPN_VALUE"/>
      <sheetName val="Tabla_de_amortización"/>
      <sheetName val="Motivos"/>
      <sheetName val="BaseDados"/>
      <sheetName val="Fechamento Mês"/>
      <sheetName val="Recebimento"/>
      <sheetName val="Fechamento Diário"/>
      <sheetName val="High Light"/>
      <sheetName val="% Dispersão"/>
      <sheetName val="% Reprovação"/>
      <sheetName val="% Caco Limpo Unid."/>
      <sheetName val="Limpeza de Flint"/>
      <sheetName val="Recb. Coop."/>
      <sheetName val="Recb. Flint"/>
      <sheetName val="Apoio Material"/>
      <sheetName val="Apoio transp."/>
      <sheetName val="VLC_Packages"/>
      <sheetName val="BD"/>
      <sheetName val="[Curve Comp_x005f_x0000__x005f_x0000__x0000"/>
      <sheetName val="_Curve Comp_x005f_x0000__x005f_x0000__x0000"/>
      <sheetName val="_Curve Comp____________Brazil S"/>
      <sheetName val="Comparativo 99X00"/>
      <sheetName val="validaciones"/>
      <sheetName val="Tabela de Parâmetros"/>
      <sheetName val="Versao 1b ($=R$2,13)"/>
      <sheetName val="CRITERIOS"/>
      <sheetName val="BANCO"/>
      <sheetName val="Listas"/>
      <sheetName val="[Curve Comp"/>
      <sheetName val="2.주요계수총괄"/>
      <sheetName val="Pg 1"/>
      <sheetName val="STARTSHEET"/>
      <sheetName val="Vol-Mix x Seg AN"/>
      <sheetName val="Datos"/>
      <sheetName val="5.1"/>
      <sheetName val="INVESTMENTS EUR"/>
      <sheetName val="DIVESTMENTS EUR"/>
      <sheetName val="Empresas"/>
      <sheetName val="Price DB"/>
      <sheetName val="CostComponent"/>
      <sheetName val="source"/>
      <sheetName val="BLP"/>
      <sheetName val="Indice"/>
      <sheetName val="_Curve Comp_x005f_x005f_x005f_x0000__x005f_x005f_"/>
      <sheetName val="[Curve Comp_x005f_x005f_x005f_x0000__x005f_x005f_"/>
      <sheetName val="Données LMU"/>
      <sheetName val="Pareto"/>
      <sheetName val="CONTADOR"/>
      <sheetName val="PGK-1610"/>
      <sheetName val="1o_Sem"/>
      <sheetName val="2o_Sem"/>
      <sheetName val="ID_Ano"/>
      <sheetName val="Sistema"/>
      <sheetName val="Passo2_Histograma"/>
      <sheetName val="total list"/>
      <sheetName val="Tables"/>
      <sheetName val="Total CDD"/>
      <sheetName val="Catalogo"/>
      <sheetName val="PE1"/>
      <sheetName val="RS1"/>
      <sheetName val="SC1"/>
      <sheetName val="SP1"/>
      <sheetName val="BAU"/>
      <sheetName val="CAM"/>
      <sheetName val="CEE"/>
      <sheetName val="CUR"/>
      <sheetName val="DF"/>
      <sheetName val="PRP"/>
      <sheetName val="RIB"/>
      <sheetName val="RJ"/>
      <sheetName val="SAL"/>
      <sheetName val="SAN"/>
      <sheetName val="SCA"/>
      <sheetName val="Curve%20Comparisons.xls"/>
      <sheetName val="SJC"/>
      <sheetName val="SJR"/>
      <sheetName val="SOR"/>
      <sheetName val="Setup"/>
      <sheetName val="_Curve_CompBrazil_S"/>
      <sheetName val="_Curve_Comp____________Brazil_S"/>
      <sheetName val="판매진척"/>
      <sheetName val="producto"/>
      <sheetName val="LISTA SUSPENSA"/>
      <sheetName val="Directrices de Metas 2017"/>
      <sheetName val="Yield_Curve6"/>
      <sheetName val="Yield_Curve_(2)6"/>
      <sheetName val="Brazil_Sovereign6"/>
      <sheetName val="Brazil_Swap6"/>
      <sheetName val="Price_(2)6"/>
      <sheetName val="Dados_Cash6"/>
      <sheetName val="기간별_판매진척3"/>
      <sheetName val="Curve_Comparisons3"/>
      <sheetName val="요일_테이블3"/>
      <sheetName val="PackAppear__(2)5"/>
      <sheetName val="Resu_Capex5"/>
      <sheetName val="Efic_Consumo5"/>
      <sheetName val="OOO_(2)5"/>
      <sheetName val="PackAppear_5"/>
      <sheetName val="PQCM_(2)5"/>
      <sheetName val="PQRM_(2)5"/>
      <sheetName val="Res_Executivo5"/>
      <sheetName val="2001_10_Cerv5"/>
      <sheetName val="PLAN_SAC_Cerveja5"/>
      <sheetName val="PLAN_SAC_RefrigeNanc5"/>
      <sheetName val="2001_04_Cerv5"/>
      <sheetName val="Farol_SAC_Cerveja5"/>
      <sheetName val="2001_04_Nanc5"/>
      <sheetName val="Farol_SAC_Refrigenanc5"/>
      <sheetName val="Sig_Cycles_Accts_&amp;_Processes5"/>
      <sheetName val="Calc_15"/>
      <sheetName val="_Curve_Comp2"/>
      <sheetName val="WF_China_YTD3"/>
      <sheetName val="Riscos-Oport_3"/>
      <sheetName val="Relatório_SDG2"/>
      <sheetName val="EI_Calc2"/>
      <sheetName val="LBO_Model2"/>
      <sheetName val="[Curve_Comp????????????Brazil_2"/>
      <sheetName val="Balance_Fin_ajust_20042"/>
      <sheetName val="DATOS_PARA_INTERPOLACION2"/>
      <sheetName val="DPN_VALUE2"/>
      <sheetName val="Tabla_de_amortización2"/>
      <sheetName val="Coleta_dados1"/>
      <sheetName val="IV_Confiabilidade1"/>
      <sheetName val="IV_Indisponibilidade1"/>
      <sheetName val="Check_R__Diária1"/>
      <sheetName val="Histórico_Check_R__Diária1"/>
      <sheetName val="[Curve_Comp_x005f_x0000__x005f_x0000__x0001"/>
      <sheetName val="_Curve_Comp_x005f_x0000__x005f_x0000__x0001"/>
      <sheetName val="_Curve_Comp____________Brazil_1"/>
      <sheetName val="2_주요계수총괄1"/>
      <sheetName val="[Curve_Comp1"/>
      <sheetName val="Comparativo_99X001"/>
      <sheetName val="Tabela_de_Parâmetros1"/>
      <sheetName val="Versao_1b_($=R$2,13)1"/>
      <sheetName val="Pg_11"/>
      <sheetName val="Vol-Mix_x_Seg_AN1"/>
      <sheetName val="Fechamento_Mês1"/>
      <sheetName val="Fechamento_Diário1"/>
      <sheetName val="High_Light1"/>
      <sheetName val="%_Dispersão1"/>
      <sheetName val="%_Reprovação1"/>
      <sheetName val="%_Caco_Limpo_Unid_1"/>
      <sheetName val="Limpeza_de_Flint1"/>
      <sheetName val="Recb__Coop_1"/>
      <sheetName val="Recb__Flint1"/>
      <sheetName val="Apoio_Material1"/>
      <sheetName val="Apoio_transp_1"/>
      <sheetName val="INVESTMENTS_EUR"/>
      <sheetName val="DIVESTMENTS_EUR"/>
      <sheetName val="5_1"/>
      <sheetName val="Price_DB"/>
      <sheetName val="_Curve_Comp_x005f_x005f_x005f_x0000__x005f_x005f_"/>
      <sheetName val="[Curve_Comp_x005f_x005f_x005f_x0000__x005f_x005f_"/>
      <sheetName val="Données_LMU"/>
      <sheetName val="total_list"/>
      <sheetName val="Yield_Curve5"/>
      <sheetName val="Yield_Curve_(2)5"/>
      <sheetName val="Brazil_Sovereign5"/>
      <sheetName val="Brazil_Swap5"/>
      <sheetName val="Price_(2)5"/>
      <sheetName val="Dados_Cash5"/>
      <sheetName val="기간별_판매진척2"/>
      <sheetName val="Curve_Comparisons2"/>
      <sheetName val="요일_테이블2"/>
      <sheetName val="PackAppear__(2)4"/>
      <sheetName val="Resu_Capex4"/>
      <sheetName val="Efic_Consumo4"/>
      <sheetName val="OOO_(2)4"/>
      <sheetName val="PackAppear_4"/>
      <sheetName val="PQCM_(2)4"/>
      <sheetName val="PQRM_(2)4"/>
      <sheetName val="Res_Executivo4"/>
      <sheetName val="2001_10_Cerv4"/>
      <sheetName val="PLAN_SAC_Cerveja4"/>
      <sheetName val="PLAN_SAC_RefrigeNanc4"/>
      <sheetName val="2001_04_Cerv4"/>
      <sheetName val="Farol_SAC_Cerveja4"/>
      <sheetName val="2001_04_Nanc4"/>
      <sheetName val="Farol_SAC_Refrigenanc4"/>
      <sheetName val="Sig_Cycles_Accts_&amp;_Processes4"/>
      <sheetName val="Calc_14"/>
      <sheetName val="_Curve_Comp1"/>
      <sheetName val="WF_China_YTD2"/>
      <sheetName val="Riscos-Oport_2"/>
      <sheetName val="Relatório_SDG1"/>
      <sheetName val="EI_Calc1"/>
      <sheetName val="LBO_Model1"/>
      <sheetName val="[Curve_Comp????????????Brazil_1"/>
      <sheetName val="Balance_Fin_ajust_20041"/>
      <sheetName val="DATOS_PARA_INTERPOLACION1"/>
      <sheetName val="DPN_VALUE1"/>
      <sheetName val="Tabla_de_amortización1"/>
      <sheetName val="Coleta_dados"/>
      <sheetName val="IV_Confiabilidade"/>
      <sheetName val="IV_Indisponibilidade"/>
      <sheetName val="Check_R__Diária"/>
      <sheetName val="Histórico_Check_R__Diária"/>
      <sheetName val="[Curve_Comp_x005f_x0000__x005f_x0000__x0000"/>
      <sheetName val="_Curve_Comp_x005f_x0000__x005f_x0000__x0000"/>
      <sheetName val="2_주요계수총괄"/>
      <sheetName val="[Curve_Comp"/>
      <sheetName val="Comparativo_99X00"/>
      <sheetName val="Tabela_de_Parâmetros"/>
      <sheetName val="Versao_1b_($=R$2,13)"/>
      <sheetName val="Pg_1"/>
      <sheetName val="Vol-Mix_x_Seg_AN"/>
      <sheetName val="Fechamento_Mês"/>
      <sheetName val="Fechamento_Diário"/>
      <sheetName val="High_Light"/>
      <sheetName val="%_Dispersão"/>
      <sheetName val="%_Reprovação"/>
      <sheetName val="%_Caco_Limpo_Unid_"/>
      <sheetName val="Limpeza_de_Flint"/>
      <sheetName val="Recb__Coop_"/>
      <sheetName val="Recb__Flint"/>
      <sheetName val="Apoio_Material"/>
      <sheetName val="Apoio_transp_"/>
      <sheetName val="코드"/>
      <sheetName val="CausasProblemasFolios"/>
      <sheetName val="Base de datos"/>
      <sheetName val="TOP KPIs MTM"/>
      <sheetName val="_Curve Comp_x0000__x0000__x0000"/>
      <sheetName val="_Curve Comp_x005f_x0000__"/>
      <sheetName val="Total_CDD"/>
      <sheetName val="PozoPivot"/>
      <sheetName val="InyeccionPivot"/>
      <sheetName val="KHORA"/>
      <sheetName val="Data Validation"/>
      <sheetName val="Menu"/>
      <sheetName val="PLAN DE ACCION"/>
      <sheetName val="drop down menu"/>
      <sheetName val="5_11"/>
      <sheetName val="INVESTMENTS_EUR1"/>
      <sheetName val="DIVESTMENTS_EUR1"/>
      <sheetName val="Price_DB1"/>
      <sheetName val="_Curve_Comp_x005f_x005f_x005f_x0000__x005f1"/>
      <sheetName val="[Curve_Comp_x005f_x005f_x005f_x0000__x005f1"/>
      <sheetName val="Données_LMU1"/>
      <sheetName val="total_list1"/>
      <sheetName val="Total_CDD1"/>
      <sheetName val="Curve%20Comparisons_xls"/>
      <sheetName val="LISTA_SUSPENSA"/>
      <sheetName val="Directrices_de_Metas_2017"/>
      <sheetName val="Yield_Curve7"/>
      <sheetName val="Yield_Curve_(2)7"/>
      <sheetName val="Brazil_Sovereign7"/>
      <sheetName val="Brazil_Swap7"/>
      <sheetName val="Price_(2)7"/>
      <sheetName val="Dados_Cash7"/>
      <sheetName val="PackAppear__(2)6"/>
      <sheetName val="Resu_Capex6"/>
      <sheetName val="Efic_Consumo6"/>
      <sheetName val="OOO_(2)6"/>
      <sheetName val="PackAppear_6"/>
      <sheetName val="PQCM_(2)6"/>
      <sheetName val="PQRM_(2)6"/>
      <sheetName val="Res_Executivo6"/>
      <sheetName val="Sig_Cycles_Accts_&amp;_Processes6"/>
      <sheetName val="2001_10_Cerv6"/>
      <sheetName val="PLAN_SAC_Cerveja6"/>
      <sheetName val="PLAN_SAC_RefrigeNanc6"/>
      <sheetName val="2001_04_Cerv6"/>
      <sheetName val="Farol_SAC_Cerveja6"/>
      <sheetName val="2001_04_Nanc6"/>
      <sheetName val="Farol_SAC_Refrigenanc6"/>
      <sheetName val="Calc_16"/>
      <sheetName val="WF_China_YTD4"/>
      <sheetName val="Curve_Comparisons4"/>
      <sheetName val="Riscos-Oport_4"/>
      <sheetName val="_Curve_Comp3"/>
      <sheetName val="Relatório_SDG3"/>
      <sheetName val="EI_Calc3"/>
      <sheetName val="기간별_판매진척4"/>
      <sheetName val="요일_테이블4"/>
      <sheetName val="LBO_Model3"/>
      <sheetName val="[Curve_Comp????????????Brazil_3"/>
      <sheetName val="Balance_Fin_ajust_20043"/>
      <sheetName val="DATOS_PARA_INTERPOLACION3"/>
      <sheetName val="DPN_VALUE3"/>
      <sheetName val="Tabla_de_amortización3"/>
      <sheetName val="Coleta_dados2"/>
      <sheetName val="IV_Confiabilidade2"/>
      <sheetName val="IV_Indisponibilidade2"/>
      <sheetName val="Check_R__Diária2"/>
      <sheetName val="Histórico_Check_R__Diária2"/>
      <sheetName val="[Curve_Comp_x005f_x0000__x005f_x0000__x0002"/>
      <sheetName val="_Curve_Comp_x005f_x0000__x005f_x0000__x0002"/>
      <sheetName val="_Curve_Comp____________Brazil_2"/>
      <sheetName val="[Curve_Comp2"/>
      <sheetName val="Comparativo_99X002"/>
      <sheetName val="Tabela_de_Parâmetros2"/>
      <sheetName val="Versao_1b_($=R$2,13)2"/>
      <sheetName val="2_주요계수총괄2"/>
      <sheetName val="Fechamento_Mês2"/>
      <sheetName val="Fechamento_Diário2"/>
      <sheetName val="High_Light2"/>
      <sheetName val="%_Dispersão2"/>
      <sheetName val="%_Reprovação2"/>
      <sheetName val="%_Caco_Limpo_Unid_2"/>
      <sheetName val="Limpeza_de_Flint2"/>
      <sheetName val="Recb__Coop_2"/>
      <sheetName val="Recb__Flint2"/>
      <sheetName val="Apoio_Material2"/>
      <sheetName val="Apoio_transp_2"/>
      <sheetName val="Pg_12"/>
      <sheetName val="Vol-Mix_x_Seg_AN2"/>
      <sheetName val="5_12"/>
      <sheetName val="INVESTMENTS_EUR2"/>
      <sheetName val="DIVESTMENTS_EUR2"/>
      <sheetName val="Price_DB2"/>
      <sheetName val="_Curve_Comp_x005f_x005f_x005f_x0000__x005f2"/>
      <sheetName val="[Curve_Comp_x005f_x005f_x005f_x0000__x005f2"/>
      <sheetName val="Données_LMU2"/>
      <sheetName val="total_list2"/>
      <sheetName val="Total_CDD2"/>
      <sheetName val="Curve%20Comparisons_xls1"/>
      <sheetName val="LISTA_SUSPENSA1"/>
      <sheetName val="Directrices_de_Metas_20171"/>
      <sheetName val="_Curve_Comp_x0000"/>
      <sheetName val="_Curve_Comp_x005f_x0000__"/>
      <sheetName val="Base_de_datos"/>
      <sheetName val="TOP_KPIs_MTM"/>
      <sheetName val="XLR_NoRangeSheet"/>
      <sheetName val="0106"/>
      <sheetName val="0206"/>
      <sheetName val="0506"/>
      <sheetName val="0606"/>
      <sheetName val="0708"/>
      <sheetName val="0806"/>
      <sheetName val="0906"/>
      <sheetName val="Noviembre"/>
      <sheetName val="Septiembre"/>
      <sheetName val="Agosto"/>
      <sheetName val="Julio"/>
      <sheetName val="Junio"/>
      <sheetName val="progr"/>
      <sheetName val="Principal"/>
      <sheetName val="INGRESO"/>
      <sheetName val="Hoja1"/>
      <sheetName val="Hoja5"/>
      <sheetName val="Hoja3"/>
      <sheetName val="PERSONAS"/>
      <sheetName val="2017"/>
      <sheetName val="Graf Planeadores"/>
      <sheetName val="DROP "/>
      <sheetName val="Plan de Acción"/>
      <sheetName val="POA"/>
      <sheetName val="DROP"/>
      <sheetName val="구분"/>
      <sheetName val="Combo"/>
      <sheetName val="01.2 valor da up"/>
      <sheetName val="#REF!"/>
      <sheetName val="LSS pivot"/>
      <sheetName val="Value lists"/>
      <sheetName val="Share Price 2002"/>
      <sheetName val="PM"/>
      <sheetName val="Tela Inicial"/>
      <sheetName val="Cálculo TMEF-TMR"/>
      <sheetName val="TMEF - TMR 131"/>
      <sheetName val="TMEF - TMR 151"/>
      <sheetName val="#¡REF"/>
      <sheetName val="RESULTADOS"/>
      <sheetName val="2RF98 (Mkt 9%)"/>
      <sheetName val="GR55_Template"/>
      <sheetName val="Yield_Curve8"/>
      <sheetName val="Yield_Curve_(2)8"/>
      <sheetName val="Brazil_Sovereign8"/>
      <sheetName val="Brazil_Swap8"/>
      <sheetName val="Price_(2)8"/>
      <sheetName val="Dados_Cash8"/>
      <sheetName val="PackAppear__(2)7"/>
      <sheetName val="Resu_Capex7"/>
      <sheetName val="Efic_Consumo7"/>
      <sheetName val="OOO_(2)7"/>
      <sheetName val="PackAppear_7"/>
      <sheetName val="PQCM_(2)7"/>
      <sheetName val="PQRM_(2)7"/>
      <sheetName val="Res_Executivo7"/>
      <sheetName val="2001_10_Cerv7"/>
      <sheetName val="PLAN_SAC_Cerveja7"/>
      <sheetName val="PLAN_SAC_RefrigeNanc7"/>
      <sheetName val="2001_04_Cerv7"/>
      <sheetName val="Farol_SAC_Cerveja7"/>
      <sheetName val="2001_04_Nanc7"/>
      <sheetName val="Farol_SAC_Refrigenanc7"/>
      <sheetName val="Sig_Cycles_Accts_&amp;_Processes7"/>
      <sheetName val="Calc_17"/>
      <sheetName val="WF_China_YTD5"/>
      <sheetName val="Curve_Comparisons5"/>
      <sheetName val="Riscos-Oport_5"/>
      <sheetName val="_Curve_Comp4"/>
      <sheetName val="Relatório_SDG4"/>
      <sheetName val="EI_Calc4"/>
      <sheetName val="기간별_판매진척5"/>
      <sheetName val="요일_테이블5"/>
      <sheetName val="Balance_Fin_ajust_20044"/>
      <sheetName val="DATOS_PARA_INTERPOLACION4"/>
      <sheetName val="DPN_VALUE4"/>
      <sheetName val="Tabla_de_amortización4"/>
      <sheetName val="LBO_Model4"/>
      <sheetName val="[Curve_Comp????????????Brazil_4"/>
      <sheetName val="Coleta_dados3"/>
      <sheetName val="IV_Confiabilidade3"/>
      <sheetName val="IV_Indisponibilidade3"/>
      <sheetName val="Check_R__Diária3"/>
      <sheetName val="Histórico_Check_R__Diária3"/>
      <sheetName val="Fechamento_Mês3"/>
      <sheetName val="Fechamento_Diário3"/>
      <sheetName val="High_Light3"/>
      <sheetName val="%_Dispersão3"/>
      <sheetName val="%_Reprovação3"/>
      <sheetName val="%_Caco_Limpo_Unid_3"/>
      <sheetName val="Limpeza_de_Flint3"/>
      <sheetName val="Recb__Coop_3"/>
      <sheetName val="Recb__Flint3"/>
      <sheetName val="Apoio_Material3"/>
      <sheetName val="Apoio_transp_3"/>
      <sheetName val="[Curve_Comp_x005f_x0000__x005f_x0000__x0003"/>
      <sheetName val="_Curve_Comp_x005f_x0000__x005f_x0000__x0003"/>
      <sheetName val="_Curve_Comp____________Brazil_3"/>
      <sheetName val="Comparativo_99X003"/>
      <sheetName val="Tabela_de_Parâmetros3"/>
      <sheetName val="Versao_1b_($=R$2,13)3"/>
      <sheetName val="[Curve_Comp3"/>
      <sheetName val="2_주요계수총괄3"/>
      <sheetName val="Pg_13"/>
      <sheetName val="Vol-Mix_x_Seg_AN3"/>
      <sheetName val="5_13"/>
      <sheetName val="INVESTMENTS_EUR3"/>
      <sheetName val="DIVESTMENTS_EUR3"/>
      <sheetName val="Price_DB3"/>
      <sheetName val="_Curve_Comp_x005f_x005f_x005f_x0000__x005f3"/>
      <sheetName val="[Curve_Comp_x005f_x005f_x005f_x0000__x005f3"/>
      <sheetName val="Données_LMU3"/>
      <sheetName val="Total_CDD3"/>
      <sheetName val="total_list3"/>
      <sheetName val="Curve%20Comparisons_xls2"/>
      <sheetName val="LISTA_SUSPENSA2"/>
      <sheetName val="Directrices_de_Metas_20172"/>
      <sheetName val="_Curve_Comp_x005f_x0000__1"/>
      <sheetName val="Base_de_datos1"/>
      <sheetName val="TOP_KPIs_MTM1"/>
      <sheetName val="Data_Validation"/>
      <sheetName val="PLAN_DE_ACCION"/>
      <sheetName val="drop_down_menu"/>
      <sheetName val="Graf_Planeadores"/>
      <sheetName val="DROP_"/>
      <sheetName val="01_2_valor_da_up"/>
      <sheetName val="Plan_de_Acción"/>
      <sheetName val="Como_Estamos1"/>
      <sheetName val="CADASTRO"/>
      <sheetName val="Load Data"/>
      <sheetName val="[Curve Comp_x0000__x0000__x0000"/>
      <sheetName val="[Curve Comp_x005f_x0000__"/>
      <sheetName val="[Curve_Comp_x0000__x0000__x0001"/>
      <sheetName val="_Curve_Comp_x0000__x0000__x0001"/>
      <sheetName val="[Curve_Comp_x005f_x0000__"/>
      <sheetName val="[Curve_Comp_x0000__x0000__x0000"/>
      <sheetName val="_Curve Comp_x0000__"/>
      <sheetName val="_Curve_Comp_x005f_x0000__x005f1"/>
      <sheetName val="[Curve_Comp_x005f_x0000__x005f1"/>
      <sheetName val="[Curve_Comp_x0000__x0000__x0002"/>
      <sheetName val="_Curve_Comp_x0000__x0000__x0002"/>
      <sheetName val="_Curve_Comp_x005f_x0000__x005f2"/>
      <sheetName val="[Curve_Comp_x005f_x0000__x005f2"/>
      <sheetName val="_Curve_Comp_x0000__"/>
      <sheetName val="[Curve_Comp_x0000__x0000__x0003"/>
      <sheetName val="_Curve_Comp_x0000__x0000__x0003"/>
      <sheetName val="_Curve_Comp_x005f_x0000__x005f3"/>
      <sheetName val="[Curve_Comp_x005f_x0000__x005f3"/>
      <sheetName val="_Curve_Comp_x0000__1"/>
      <sheetName val="Data Input Sheet"/>
      <sheetName val="Details"/>
      <sheetName val="LEGAL GUJ"/>
      <sheetName val="_Curve Comp_x005f_x005f_x005f_x005f_x005f_x005f_x"/>
      <sheetName val="[Curve Comp_x005f_x005f_x005f_x005f_x005f_x005f_x"/>
      <sheetName val="07"/>
      <sheetName val="Steuerung"/>
      <sheetName val="RG Depots"/>
      <sheetName val="dep pre"/>
      <sheetName val="Yield_Curve9"/>
      <sheetName val="Yield_Curve_(2)9"/>
      <sheetName val="Brazil_Sovereign9"/>
      <sheetName val="Brazil_Swap9"/>
      <sheetName val="Price_(2)9"/>
      <sheetName val="Dados_Cash9"/>
      <sheetName val="PackAppear__(2)8"/>
      <sheetName val="Resu_Capex8"/>
      <sheetName val="Efic_Consumo8"/>
      <sheetName val="OOO_(2)8"/>
      <sheetName val="PackAppear_8"/>
      <sheetName val="PQCM_(2)8"/>
      <sheetName val="PQRM_(2)8"/>
      <sheetName val="Res_Executivo8"/>
      <sheetName val="2001_10_Cerv8"/>
      <sheetName val="PLAN_SAC_Cerveja8"/>
      <sheetName val="PLAN_SAC_RefrigeNanc8"/>
      <sheetName val="2001_04_Cerv8"/>
      <sheetName val="Farol_SAC_Cerveja8"/>
      <sheetName val="2001_04_Nanc8"/>
      <sheetName val="Farol_SAC_Refrigenanc8"/>
      <sheetName val="Sig_Cycles_Accts_&amp;_Processes8"/>
      <sheetName val="Calc_18"/>
      <sheetName val="WF_China_YTD6"/>
      <sheetName val="Curve_Comparisons6"/>
      <sheetName val="Riscos-Oport_6"/>
      <sheetName val="_Curve_Comp5"/>
      <sheetName val="Relatório_SDG5"/>
      <sheetName val="기간별_판매진척6"/>
      <sheetName val="요일_테이블6"/>
      <sheetName val="LBO_Model5"/>
      <sheetName val="EI_Calc5"/>
      <sheetName val="[Curve_Comp????????????Brazil_5"/>
      <sheetName val="[Curve_Comp4"/>
      <sheetName val="Balance_Fin_ajust_20045"/>
      <sheetName val="DATOS_PARA_INTERPOLACION5"/>
      <sheetName val="DPN_VALUE5"/>
      <sheetName val="Tabla_de_amortización5"/>
      <sheetName val="Coleta_dados4"/>
      <sheetName val="IV_Confiabilidade4"/>
      <sheetName val="IV_Indisponibilidade4"/>
      <sheetName val="Check_R__Diária4"/>
      <sheetName val="Histórico_Check_R__Diária4"/>
      <sheetName val="[Curve_Comp_x005f_x0000__x005f_x0000__x0004"/>
      <sheetName val="_Curve_Comp_x005f_x0000__x005f_x0000__x0004"/>
      <sheetName val="_Curve_Comp____________Brazil_4"/>
      <sheetName val="Pg_14"/>
      <sheetName val="2_주요계수총괄4"/>
      <sheetName val="Comparativo_99X004"/>
      <sheetName val="Tabela_de_Parâmetros4"/>
      <sheetName val="Versao_1b_($=R$2,13)4"/>
      <sheetName val="Fechamento_Mês4"/>
      <sheetName val="Fechamento_Diário4"/>
      <sheetName val="High_Light4"/>
      <sheetName val="%_Dispersão4"/>
      <sheetName val="%_Reprovação4"/>
      <sheetName val="%_Caco_Limpo_Unid_4"/>
      <sheetName val="Limpeza_de_Flint4"/>
      <sheetName val="Recb__Coop_4"/>
      <sheetName val="Recb__Flint4"/>
      <sheetName val="Apoio_Material4"/>
      <sheetName val="Apoio_transp_4"/>
      <sheetName val="Vol-Mix_x_Seg_AN4"/>
      <sheetName val="5_14"/>
      <sheetName val="INVESTMENTS_EUR4"/>
      <sheetName val="DIVESTMENTS_EUR4"/>
      <sheetName val="Price_DB4"/>
      <sheetName val="_Curve_Comp_x005f_x005f_x005f_x0000__x005f4"/>
      <sheetName val="[Curve_Comp_x005f_x005f_x005f_x0000__x005f4"/>
      <sheetName val="Données_LMU4"/>
      <sheetName val="total_list4"/>
      <sheetName val="Total_CDD4"/>
      <sheetName val="Curve%20Comparisons_xls3"/>
      <sheetName val="Base_de_datos2"/>
      <sheetName val="TOP_KPIs_MTM2"/>
      <sheetName val="Directrices_de_Metas_20173"/>
      <sheetName val="LISTA_SUSPENSA3"/>
      <sheetName val="_Curve_Comp_x005f_x0000__2"/>
      <sheetName val="Data_Validation1"/>
      <sheetName val="PLAN_DE_ACCION1"/>
      <sheetName val="drop_down_menu1"/>
      <sheetName val="Graf_Planeadores1"/>
      <sheetName val="DROP_1"/>
      <sheetName val="Plan_de_Acción1"/>
      <sheetName val="01_2_valor_da_up1"/>
      <sheetName val="LSS_pivot"/>
      <sheetName val="Value_lists"/>
      <sheetName val="Share_Price_2002"/>
      <sheetName val="Load_Data"/>
      <sheetName val="Tela_Inicial"/>
      <sheetName val="Cálculo_TMEF-TMR"/>
      <sheetName val="TMEF_-_TMR_131"/>
      <sheetName val="TMEF_-_TMR_151"/>
      <sheetName val="2RF98_(Mkt_9%)"/>
      <sheetName val="Data_Input_Sheet"/>
      <sheetName val="dep_pre"/>
      <sheetName val="No Tocar"/>
      <sheetName val="INGRESO (2)"/>
      <sheetName val="CLASIF"/>
      <sheetName val="Cover page"/>
      <sheetName val="Orientações"/>
      <sheetName val="Estrutura Organizacional"/>
      <sheetName val="1.DN Coordenação"/>
      <sheetName val="1.1 Matriz Criticidade Coord"/>
      <sheetName val="2.DN Gerência"/>
      <sheetName val="2.1 Matriz criticidade Ger. "/>
      <sheetName val="1. NASA"/>
      <sheetName val="2.1 Matriz criticidade MP"/>
      <sheetName val="Check List- Gerrot"/>
      <sheetName val="AbertoBD"/>
      <sheetName val="Resumo"/>
      <sheetName val="estagios e blocos"/>
      <sheetName val="Variaveis Gerais"/>
      <sheetName val="GDP"/>
      <sheetName val="DadosOrc"/>
      <sheetName val="Disp 2004"/>
      <sheetName val="GEPEG - Volume Mfe + Pelotas"/>
      <sheetName val="bdgastos"/>
      <sheetName val="estgg"/>
      <sheetName val="EAIGESEN"/>
      <sheetName val="Auxiliar"/>
      <sheetName val="#REF"/>
      <sheetName val="Marcas"/>
      <sheetName val="_Curve_Comp_x00001"/>
      <sheetName val="[Curve_Comp_x00001"/>
      <sheetName val="[Curve_Comp_x005f_x0000__1"/>
      <sheetName val="_Curve_Comp_2"/>
      <sheetName val="LEGAL_GUJ"/>
      <sheetName val="_Curve_Comp_x005f_x005f_x005f_x005f_x005f_x005f_x"/>
      <sheetName val="[Curve_Comp_x005f_x005f_x005f_x005f_x005f_x005f_x"/>
      <sheetName val="RG_Depots"/>
      <sheetName val="waterfall"/>
      <sheetName val="LookUp"/>
      <sheetName val="PB"/>
      <sheetName val="PREENCHIMENTO"/>
      <sheetName val="Cost Sheet"/>
      <sheetName val="Cost Leadership Capex Inv."/>
      <sheetName val="Cost Leadership Capex Div."/>
      <sheetName val="Yield_Curve10"/>
      <sheetName val="Yield_Curve_(2)10"/>
      <sheetName val="Brazil_Sovereign10"/>
      <sheetName val="Brazil_Swap10"/>
      <sheetName val="Price_(2)10"/>
      <sheetName val="Dados_Cash10"/>
      <sheetName val="PackAppear__(2)9"/>
      <sheetName val="Resu_Capex9"/>
      <sheetName val="Efic_Consumo9"/>
      <sheetName val="OOO_(2)9"/>
      <sheetName val="PackAppear_9"/>
      <sheetName val="PQCM_(2)9"/>
      <sheetName val="PQRM_(2)9"/>
      <sheetName val="Res_Executivo9"/>
      <sheetName val="2001_10_Cerv9"/>
      <sheetName val="PLAN_SAC_Cerveja9"/>
      <sheetName val="PLAN_SAC_RefrigeNanc9"/>
      <sheetName val="2001_04_Cerv9"/>
      <sheetName val="Farol_SAC_Cerveja9"/>
      <sheetName val="2001_04_Nanc9"/>
      <sheetName val="Farol_SAC_Refrigenanc9"/>
      <sheetName val="Sig_Cycles_Accts_&amp;_Processes9"/>
      <sheetName val="Calc_19"/>
      <sheetName val="WF_China_YTD7"/>
      <sheetName val="Curve_Comparisons7"/>
      <sheetName val="Riscos-Oport_7"/>
      <sheetName val="_Curve_Comp6"/>
      <sheetName val="Relatório_SDG6"/>
      <sheetName val="기간별_판매진척7"/>
      <sheetName val="요일_테이블7"/>
      <sheetName val="LBO_Model6"/>
      <sheetName val="EI_Calc6"/>
      <sheetName val="[Curve_Comp????????????Brazil_6"/>
      <sheetName val="Balance_Fin_ajust_20046"/>
      <sheetName val="DATOS_PARA_INTERPOLACION6"/>
      <sheetName val="DPN_VALUE6"/>
      <sheetName val="Tabla_de_amortización6"/>
      <sheetName val="Coleta_dados5"/>
      <sheetName val="IV_Confiabilidade5"/>
      <sheetName val="IV_Indisponibilidade5"/>
      <sheetName val="Check_R__Diária5"/>
      <sheetName val="Histórico_Check_R__Diária5"/>
      <sheetName val="[Curve_Comp_x005f_x0000__x005f_x0000__x0005"/>
      <sheetName val="_Curve_Comp_x005f_x0000__x005f_x0000__x0005"/>
      <sheetName val="_Curve_Comp____________Brazil_5"/>
      <sheetName val="Comparativo_99X005"/>
      <sheetName val="Tabela_de_Parâmetros5"/>
      <sheetName val="Versao_1b_($=R$2,13)5"/>
      <sheetName val="[Curve_Comp5"/>
      <sheetName val="2_주요계수총괄5"/>
      <sheetName val="Fechamento_Mês5"/>
      <sheetName val="Fechamento_Diário5"/>
      <sheetName val="High_Light5"/>
      <sheetName val="%_Dispersão5"/>
      <sheetName val="%_Reprovação5"/>
      <sheetName val="%_Caco_Limpo_Unid_5"/>
      <sheetName val="Limpeza_de_Flint5"/>
      <sheetName val="Recb__Coop_5"/>
      <sheetName val="Recb__Flint5"/>
      <sheetName val="Apoio_Material5"/>
      <sheetName val="Apoio_transp_5"/>
      <sheetName val="Pg_15"/>
      <sheetName val="Vol-Mix_x_Seg_AN5"/>
      <sheetName val="5_15"/>
      <sheetName val="INVESTMENTS_EUR5"/>
      <sheetName val="DIVESTMENTS_EUR5"/>
      <sheetName val="Price_DB5"/>
      <sheetName val="_Curve_Comp_x005f_x005f_x005f_x0000__x005f5"/>
      <sheetName val="[Curve_Comp_x005f_x005f_x005f_x0000__x005f5"/>
      <sheetName val="Données_LMU5"/>
      <sheetName val="total_list5"/>
      <sheetName val="Total_CDD5"/>
      <sheetName val="Curve%20Comparisons_xls4"/>
      <sheetName val="Base_de_datos3"/>
      <sheetName val="TOP_KPIs_MTM3"/>
      <sheetName val="Directrices_de_Metas_20174"/>
      <sheetName val="LISTA_SUSPENSA4"/>
      <sheetName val="_Curve_Comp_x005f_x0000__3"/>
      <sheetName val="Data_Validation2"/>
      <sheetName val="PLAN_DE_ACCION2"/>
      <sheetName val="drop_down_menu2"/>
      <sheetName val="Graf_Planeadores2"/>
      <sheetName val="DROP_2"/>
      <sheetName val="Plan_de_Acción2"/>
      <sheetName val="01_2_valor_da_up2"/>
      <sheetName val="LSS_pivot1"/>
      <sheetName val="Value_lists1"/>
      <sheetName val="Share_Price_20021"/>
      <sheetName val="Tela_Inicial1"/>
      <sheetName val="Cálculo_TMEF-TMR1"/>
      <sheetName val="TMEF_-_TMR_1311"/>
      <sheetName val="TMEF_-_TMR_1511"/>
      <sheetName val="2RF98_(Mkt_9%)1"/>
      <sheetName val="Load_Data1"/>
      <sheetName val="Data_Input_Sheet1"/>
      <sheetName val="dep_pre1"/>
      <sheetName val="INGRESO_(2)"/>
      <sheetName val="No_Tocar"/>
      <sheetName val="Cover_page"/>
      <sheetName val="Estrutura_Organizacional"/>
      <sheetName val="1_DN_Coordenação"/>
      <sheetName val="1_1_Matriz_Criticidade_Coord"/>
      <sheetName val="2_DN_Gerência"/>
      <sheetName val="2_1_Matriz_criticidade_Ger__"/>
      <sheetName val="1__NASA"/>
      <sheetName val="2_1_Matriz_criticidade_MP"/>
      <sheetName val="Check_List-_Gerrot"/>
      <sheetName val="estagios_e_blocos"/>
      <sheetName val="Variaveis_Gerais"/>
      <sheetName val="Disp_2004"/>
      <sheetName val="GEPEG_-_Volume_Mfe_+_Pelotas"/>
      <sheetName val="chiet tinh"/>
      <sheetName val="dghn"/>
      <sheetName val="생산성"/>
      <sheetName val="Niveles"/>
      <sheetName val="Bajada"/>
      <sheetName val="BS"/>
      <sheetName val="CFS"/>
      <sheetName val="Assump"/>
      <sheetName val="Conv. Debt"/>
      <sheetName val="Conv. Pref."/>
      <sheetName val="Shares Outstanding"/>
      <sheetName val="Model"/>
      <sheetName val="LBO"/>
      <sheetName val="Options"/>
      <sheetName val="Amort"/>
      <sheetName val="Depr"/>
      <sheetName val="Firm Value"/>
      <sheetName val="P&amp;L"/>
      <sheetName val="LTM"/>
      <sheetName val="Preferred"/>
      <sheetName val="Data Input"/>
      <sheetName val="Sum"/>
      <sheetName val="Tax"/>
      <sheetName val="PCS"/>
      <sheetName val="SCF - BS"/>
      <sheetName val="Rankings"/>
      <sheetName val="VSAT"/>
      <sheetName val="Trend"/>
      <sheetName val="Dropdown"/>
      <sheetName val="BASE DE DADOS"/>
      <sheetName val="Bajada Cognos"/>
      <sheetName val="KF6"/>
      <sheetName val="WEIGHT"/>
      <sheetName val="escen99 (2)"/>
      <sheetName val="130-UNIDADES"/>
      <sheetName val="Business Description BLOCK"/>
      <sheetName val="1. Descripción del Negocio"/>
      <sheetName val="2. M Criticidad Prod o Proces"/>
      <sheetName val="3. Mapa de Proceso"/>
      <sheetName val="4. M Criticidad Procesos"/>
      <sheetName val="Process Mapping BLOCK"/>
      <sheetName val="5. Tarea 1 Produccion Despa"/>
      <sheetName val="5. Tarea 2   cambio de formIBV "/>
      <sheetName val="5. Tarea 3  Producción IBV"/>
      <sheetName val="5. Tarea 4 Cambio format llenad"/>
      <sheetName val="5. Tarea 5  Arranque Llenadora"/>
      <sheetName val="5. Tarea 6  Cambio formato etiq"/>
      <sheetName val="5. Tarea 7  Produccion 1etiquet"/>
      <sheetName val="5. Tarea 8 Producc 2 etiquet"/>
      <sheetName val="5. Tarea 9 Producc. IBLL"/>
      <sheetName val="5. Tarea 10 Produccion Pale"/>
      <sheetName val="1.1 Acuerdo de Nivel de Servici"/>
      <sheetName val="Planificador Liga"/>
      <sheetName val="Drives"/>
      <sheetName val="Base Única Final - Preencher"/>
      <sheetName val="Instruções Preenchimento"/>
      <sheetName val="Base para criticar"/>
      <sheetName val="Consulta-&quot;colinha&quot;"/>
      <sheetName val="_Curve Comp??_x0000"/>
      <sheetName val="HON"/>
      <sheetName val="General Downloads"/>
      <sheetName val="Asfalto"/>
      <sheetName val="Yield_Curve11"/>
      <sheetName val="Yield_Curve_(2)11"/>
      <sheetName val="Brazil_Sovereign11"/>
      <sheetName val="Brazil_Swap11"/>
      <sheetName val="Price_(2)11"/>
      <sheetName val="Dados_Cash11"/>
      <sheetName val="PackAppear__(2)10"/>
      <sheetName val="Resu_Capex10"/>
      <sheetName val="Efic_Consumo10"/>
      <sheetName val="OOO_(2)10"/>
      <sheetName val="PackAppear_10"/>
      <sheetName val="PQCM_(2)10"/>
      <sheetName val="PQRM_(2)10"/>
      <sheetName val="Res_Executivo10"/>
      <sheetName val="Sig_Cycles_Accts_&amp;_Processes10"/>
      <sheetName val="2001_10_Cerv10"/>
      <sheetName val="PLAN_SAC_Cerveja10"/>
      <sheetName val="PLAN_SAC_RefrigeNanc10"/>
      <sheetName val="2001_04_Cerv10"/>
      <sheetName val="Farol_SAC_Cerveja10"/>
      <sheetName val="2001_04_Nanc10"/>
      <sheetName val="Farol_SAC_Refrigenanc10"/>
      <sheetName val="Calc_110"/>
      <sheetName val="WF_China_YTD8"/>
      <sheetName val="Curve_Comparisons8"/>
      <sheetName val="Riscos-Oport_8"/>
      <sheetName val="_Curve_Comp7"/>
      <sheetName val="Relatório_SDG7"/>
      <sheetName val="EI_Calc7"/>
      <sheetName val="기간별_판매진척8"/>
      <sheetName val="요일_테이블8"/>
      <sheetName val="LBO_Model7"/>
      <sheetName val="Balance_Fin_ajust_20047"/>
      <sheetName val="DATOS_PARA_INTERPOLACION7"/>
      <sheetName val="DPN_VALUE7"/>
      <sheetName val="Tabla_de_amortización7"/>
      <sheetName val="[Curve_Comp????????????Brazil_7"/>
      <sheetName val="Coleta_dados6"/>
      <sheetName val="IV_Confiabilidade6"/>
      <sheetName val="IV_Indisponibilidade6"/>
      <sheetName val="Check_R__Diária6"/>
      <sheetName val="Histórico_Check_R__Diária6"/>
      <sheetName val="Fechamento_Mês6"/>
      <sheetName val="Fechamento_Diário6"/>
      <sheetName val="High_Light6"/>
      <sheetName val="%_Dispersão6"/>
      <sheetName val="%_Reprovação6"/>
      <sheetName val="%_Caco_Limpo_Unid_6"/>
      <sheetName val="Limpeza_de_Flint6"/>
      <sheetName val="Recb__Coop_6"/>
      <sheetName val="Recb__Flint6"/>
      <sheetName val="Apoio_Material6"/>
      <sheetName val="Apoio_transp_6"/>
      <sheetName val="[Curve_Comp_x005f_x0000__x005f_x0000__x0006"/>
      <sheetName val="_Curve_Comp_x005f_x0000__x005f_x0000__x0006"/>
      <sheetName val="_Curve_Comp____________Brazil_6"/>
      <sheetName val="Comparativo_99X006"/>
      <sheetName val="Tabela_de_Parâmetros6"/>
      <sheetName val="Versao_1b_($=R$2,13)6"/>
      <sheetName val="[Curve_Comp6"/>
      <sheetName val="2_주요계수총괄6"/>
      <sheetName val="Pg_16"/>
      <sheetName val="Vol-Mix_x_Seg_AN6"/>
      <sheetName val="5_16"/>
      <sheetName val="INVESTMENTS_EUR6"/>
      <sheetName val="DIVESTMENTS_EUR6"/>
      <sheetName val="Price_DB6"/>
      <sheetName val="_Curve_Comp_x005f_x005f_x005f_x0000__x005f6"/>
      <sheetName val="[Curve_Comp_x005f_x005f_x005f_x0000__x005f6"/>
      <sheetName val="Données_LMU6"/>
      <sheetName val="total_list6"/>
      <sheetName val="Total_CDD6"/>
      <sheetName val="Curve%20Comparisons_xls5"/>
      <sheetName val="LISTA_SUSPENSA5"/>
      <sheetName val="Directrices_de_Metas_20175"/>
      <sheetName val="Base_de_datos4"/>
      <sheetName val="TOP_KPIs_MTM4"/>
      <sheetName val="_Curve_Comp_x005f_x0000__4"/>
      <sheetName val="Data_Validation3"/>
      <sheetName val="PLAN_DE_ACCION3"/>
      <sheetName val="drop_down_menu3"/>
      <sheetName val="Graf_Planeadores3"/>
      <sheetName val="DROP_3"/>
      <sheetName val="Plan_de_Acción3"/>
      <sheetName val="01_2_valor_da_up3"/>
      <sheetName val="LSS_pivot2"/>
      <sheetName val="Value_lists2"/>
      <sheetName val="Share_Price_20022"/>
      <sheetName val="Tela_Inicial2"/>
      <sheetName val="Cálculo_TMEF-TMR2"/>
      <sheetName val="TMEF_-_TMR_1312"/>
      <sheetName val="TMEF_-_TMR_1512"/>
      <sheetName val="2RF98_(Mkt_9%)2"/>
      <sheetName val="Load_Data2"/>
      <sheetName val="[Curve_Comp_x005f_x0000__2"/>
      <sheetName val="Data_Input_Sheet2"/>
      <sheetName val="LEGAL_GUJ1"/>
      <sheetName val="_Curve_Comp_x005f_x005f_x005f_x005f_x005f_x005f_1"/>
      <sheetName val="[Curve_Comp_x005f_x005f_x005f_x005f_x005f_x005f_1"/>
      <sheetName val="RG_Depots1"/>
      <sheetName val="dep_pre2"/>
      <sheetName val="INGRESO_(2)1"/>
      <sheetName val="No_Tocar1"/>
      <sheetName val="Cover_page1"/>
      <sheetName val="Estrutura_Organizacional1"/>
      <sheetName val="1_DN_Coordenação1"/>
      <sheetName val="1_1_Matriz_Criticidade_Coord1"/>
      <sheetName val="2_DN_Gerência1"/>
      <sheetName val="2_1_Matriz_criticidade_Ger__1"/>
      <sheetName val="1__NASA1"/>
      <sheetName val="2_1_Matriz_criticidade_MP1"/>
      <sheetName val="Check_List-_Gerrot1"/>
      <sheetName val="estagios_e_blocos1"/>
      <sheetName val="Variaveis_Gerais1"/>
      <sheetName val="Disp_20041"/>
      <sheetName val="GEPEG_-_Volume_Mfe_+_Pelotas1"/>
      <sheetName val="Cost_Leadership_Capex_Inv_"/>
      <sheetName val="Cost_Leadership_Capex_Div_"/>
      <sheetName val="Cost_Sheet"/>
      <sheetName val="chiet_tinh"/>
      <sheetName val="Conv__Debt"/>
      <sheetName val="Conv__Pref_"/>
      <sheetName val="Shares_Outstanding"/>
      <sheetName val="Firm_Value"/>
      <sheetName val="Data_Input"/>
      <sheetName val="SCF_-_BS"/>
      <sheetName val="BASE_DE_DADOS"/>
      <sheetName val="Bajada_Cognos"/>
      <sheetName val="escen99_(2)"/>
      <sheetName val="Business_Description_BLOCK"/>
      <sheetName val="1__Descripción_del_Negocio"/>
      <sheetName val="2__M_Criticidad_Prod_o_Proces"/>
      <sheetName val="3__Mapa_de_Proceso"/>
      <sheetName val="4__M_Criticidad_Procesos"/>
      <sheetName val="Process_Mapping_BLOCK"/>
      <sheetName val="5__Tarea_1_Produccion_Despa"/>
      <sheetName val="5__Tarea_2___cambio_de_formIBV_"/>
      <sheetName val="5__Tarea_3__Producción_IBV"/>
      <sheetName val="5__Tarea_4_Cambio_format_llenad"/>
      <sheetName val="5__Tarea_5__Arranque_Llenadora"/>
      <sheetName val="5__Tarea_6__Cambio_formato_etiq"/>
      <sheetName val="5__Tarea_7__Produccion_1etiquet"/>
      <sheetName val="5__Tarea_8_Producc_2_etiquet"/>
      <sheetName val="5__Tarea_9_Producc__IBLL"/>
      <sheetName val="5__Tarea_10_Produccion_Pale"/>
      <sheetName val="1_1_Acuerdo_de_Nivel_de_Servici"/>
      <sheetName val="Planificador_Liga"/>
      <sheetName val="Base_Única_Final_-_Preencher"/>
      <sheetName val="Instruções_Preenchimento"/>
      <sheetName val="Base_para_criticar"/>
      <sheetName val="_Curve_Comp??_x0000"/>
      <sheetName val="General_Downloads"/>
      <sheetName val="plamarc"/>
      <sheetName val="TABELA DE PREÇOS"/>
      <sheetName val="COEFICIENTES"/>
      <sheetName val="Resumen General"/>
      <sheetName val="CRITICIDAD DE CI"/>
      <sheetName val="Cátalogo de CI"/>
      <sheetName val="PLAN DE ACCION Mayo"/>
      <sheetName val="CONTEO"/>
      <sheetName val="Catálogo de CI"/>
      <sheetName val="Aux"/>
      <sheetName val="Controls data"/>
      <sheetName val="RSM(01월)"/>
      <sheetName val="LE(12월)"/>
      <sheetName val="12월 판매(권역)"/>
      <sheetName val="특별선전품"/>
      <sheetName val="일별판매"/>
      <sheetName val="Sheet6"/>
      <sheetName val="2월예산(지점)"/>
      <sheetName val="채권(01월)"/>
      <sheetName val="채권(02월)"/>
      <sheetName val="Sheet8"/>
      <sheetName val="CRM"/>
      <sheetName val="상품권"/>
      <sheetName val="선전품추가요청"/>
      <sheetName val="일별계획(판매)"/>
      <sheetName val="D_1"/>
      <sheetName val="오비라거출하"/>
      <sheetName val="KWAM"/>
      <sheetName val="채권(12월)"/>
      <sheetName val="채권(8월)"/>
      <sheetName val="Sheet7"/>
      <sheetName val="채권(9월)"/>
      <sheetName val="채권(10월)"/>
      <sheetName val="채권(11월)"/>
      <sheetName val="일량"/>
      <sheetName val="대박"/>
      <sheetName val="Sheet4"/>
      <sheetName val="N&amp;S"/>
      <sheetName val="배정관련"/>
      <sheetName val="이슈재고"/>
      <sheetName val="Sheet10"/>
      <sheetName val="Sheet11"/>
      <sheetName val="Sheet12"/>
      <sheetName val="Sheet13"/>
      <sheetName val="Sheet14"/>
      <sheetName val="7월예산(지점) (2)"/>
      <sheetName val="안내문(두리)"/>
      <sheetName val="kpi(7월 Activity)"/>
      <sheetName val="하계휴가"/>
      <sheetName val="선전품추가지원요청"/>
      <sheetName val=" 7월LE 및 재고"/>
      <sheetName val=" 8월재고"/>
      <sheetName val=" 8월재고 (2)"/>
      <sheetName val="Sheet5"/>
      <sheetName val="차량광고(일망타진)"/>
      <sheetName val="5월연체목표"/>
      <sheetName val="7월연체목표"/>
      <sheetName val="산호신동"/>
      <sheetName val="Wet_Sampling"/>
      <sheetName val="담당자변경"/>
      <sheetName val="JBP5월"/>
      <sheetName val="Operation Target(중앙)"/>
      <sheetName val="5월판매계획BBB"/>
      <sheetName val="5월판매계획RBB"/>
      <sheetName val="Bud 여행Program"/>
      <sheetName val="신정럭키"/>
      <sheetName val="유예산비중"/>
      <sheetName val="월마감 예상"/>
      <sheetName val="Sheet3"/>
      <sheetName val="jbp"/>
      <sheetName val="HE JBP"/>
      <sheetName val="HE생 확산계획"/>
      <sheetName val="BBB"/>
      <sheetName val="사입계획"/>
      <sheetName val="사전주문리스트"/>
      <sheetName val="변동업소"/>
      <sheetName val="RegionPM(3월)"/>
      <sheetName val="대신.대은"/>
      <sheetName val="백억주류"/>
      <sheetName val="4월연체목표"/>
      <sheetName val="3월연체실적"/>
      <sheetName val="3월연체목표"/>
      <sheetName val="AR Issue"/>
      <sheetName val="risk MS"/>
      <sheetName val="risk Vol"/>
      <sheetName val="Yield_Curve12"/>
      <sheetName val="Yield_Curve_(2)12"/>
      <sheetName val="Brazil_Sovereign12"/>
      <sheetName val="Brazil_Swap12"/>
      <sheetName val="Price_(2)12"/>
      <sheetName val="Dados_Cash12"/>
      <sheetName val="PackAppear__(2)11"/>
      <sheetName val="Resu_Capex11"/>
      <sheetName val="Efic_Consumo11"/>
      <sheetName val="OOO_(2)11"/>
      <sheetName val="PackAppear_11"/>
      <sheetName val="PQCM_(2)11"/>
      <sheetName val="PQRM_(2)11"/>
      <sheetName val="Res_Executivo11"/>
      <sheetName val="2001_10_Cerv11"/>
      <sheetName val="PLAN_SAC_Cerveja11"/>
      <sheetName val="PLAN_SAC_RefrigeNanc11"/>
      <sheetName val="2001_04_Cerv11"/>
      <sheetName val="Farol_SAC_Cerveja11"/>
      <sheetName val="2001_04_Nanc11"/>
      <sheetName val="Farol_SAC_Refrigenanc11"/>
      <sheetName val="Sig_Cycles_Accts_&amp;_Processes11"/>
      <sheetName val="Calc_111"/>
      <sheetName val="WF_China_YTD9"/>
      <sheetName val="Curve_Comparisons9"/>
      <sheetName val="Riscos-Oport_9"/>
      <sheetName val="_Curve_Comp8"/>
      <sheetName val="Relatório_SDG8"/>
      <sheetName val="기간별_판매진척9"/>
      <sheetName val="요일_테이블9"/>
      <sheetName val="EI_Calc8"/>
      <sheetName val="LBO_Model8"/>
      <sheetName val="[Curve_Comp????????????Brazil_8"/>
      <sheetName val="Balance_Fin_ajust_20048"/>
      <sheetName val="DATOS_PARA_INTERPOLACION8"/>
      <sheetName val="DPN_VALUE8"/>
      <sheetName val="Tabla_de_amortización8"/>
      <sheetName val="Coleta_dados7"/>
      <sheetName val="IV_Confiabilidade7"/>
      <sheetName val="IV_Indisponibilidade7"/>
      <sheetName val="Check_R__Diária7"/>
      <sheetName val="Histórico_Check_R__Diária7"/>
      <sheetName val="[Curve_Comp_x005f_x0000__x005f_x0000__x0007"/>
      <sheetName val="_Curve_Comp_x005f_x0000__x005f_x0000__x0007"/>
      <sheetName val="_Curve_Comp____________Brazil_7"/>
      <sheetName val="Vol-Mix_x_Seg_AN7"/>
      <sheetName val="[Curve_Comp7"/>
      <sheetName val="Comparativo_99X007"/>
      <sheetName val="Tabela_de_Parâmetros7"/>
      <sheetName val="Versao_1b_($=R$2,13)7"/>
      <sheetName val="2_주요계수총괄7"/>
      <sheetName val="Pg_17"/>
      <sheetName val="Fechamento_Mês7"/>
      <sheetName val="Fechamento_Diário7"/>
      <sheetName val="High_Light7"/>
      <sheetName val="%_Dispersão7"/>
      <sheetName val="%_Reprovação7"/>
      <sheetName val="%_Caco_Limpo_Unid_7"/>
      <sheetName val="Limpeza_de_Flint7"/>
      <sheetName val="Recb__Coop_7"/>
      <sheetName val="Recb__Flint7"/>
      <sheetName val="Apoio_Material7"/>
      <sheetName val="Apoio_transp_7"/>
      <sheetName val="INVESTMENTS_EUR7"/>
      <sheetName val="DIVESTMENTS_EUR7"/>
      <sheetName val="5_17"/>
      <sheetName val="Price_DB7"/>
      <sheetName val="_Curve_Comp_x005f_x005f_x005f_x0000__x005f7"/>
      <sheetName val="[Curve_Comp_x005f_x005f_x005f_x0000__x005f7"/>
      <sheetName val="Données_LMU7"/>
      <sheetName val="total_list7"/>
      <sheetName val="Total_CDD7"/>
      <sheetName val="Curve%20Comparisons_xls6"/>
      <sheetName val="Directrices_de_Metas_20176"/>
      <sheetName val="LISTA_SUSPENSA6"/>
      <sheetName val="Base_de_datos5"/>
      <sheetName val="TOP_KPIs_MTM5"/>
      <sheetName val="_Curve_Comp_x005f_x0000__5"/>
      <sheetName val="Data_Validation4"/>
      <sheetName val="PLAN_DE_ACCION4"/>
      <sheetName val="drop_down_menu4"/>
      <sheetName val="Graf_Planeadores4"/>
      <sheetName val="DROP_4"/>
      <sheetName val="Plan_de_Acción4"/>
      <sheetName val="01_2_valor_da_up4"/>
      <sheetName val="LSS_pivot3"/>
      <sheetName val="Value_lists3"/>
      <sheetName val="Share_Price_20023"/>
      <sheetName val="Tela_Inicial3"/>
      <sheetName val="Cálculo_TMEF-TMR3"/>
      <sheetName val="TMEF_-_TMR_1313"/>
      <sheetName val="TMEF_-_TMR_1513"/>
      <sheetName val="2RF98_(Mkt_9%)3"/>
      <sheetName val="Load_Data3"/>
      <sheetName val="Data_Input_Sheet3"/>
      <sheetName val="[Curve_Comp_x005f_x0000__3"/>
      <sheetName val="LEGAL_GUJ2"/>
      <sheetName val="_Curve_Comp_x005f_x005f_x005f_x005f_x005f_x005f_2"/>
      <sheetName val="[Curve_Comp_x005f_x005f_x005f_x005f_x005f_x005f_2"/>
      <sheetName val="dep_pre3"/>
      <sheetName val="RG_Depots2"/>
      <sheetName val="INGRESO_(2)2"/>
      <sheetName val="No_Tocar2"/>
      <sheetName val="Cover_page2"/>
      <sheetName val="Estrutura_Organizacional2"/>
      <sheetName val="1_DN_Coordenação2"/>
      <sheetName val="1_1_Matriz_Criticidade_Coord2"/>
      <sheetName val="2_DN_Gerência2"/>
      <sheetName val="2_1_Matriz_criticidade_Ger__2"/>
      <sheetName val="1__NASA2"/>
      <sheetName val="2_1_Matriz_criticidade_MP2"/>
      <sheetName val="Check_List-_Gerrot2"/>
      <sheetName val="estagios_e_blocos2"/>
      <sheetName val="Variaveis_Gerais2"/>
      <sheetName val="Disp_20042"/>
      <sheetName val="GEPEG_-_Volume_Mfe_+_Pelotas2"/>
      <sheetName val="Cost_Leadership_Capex_Inv_1"/>
      <sheetName val="Cost_Leadership_Capex_Div_1"/>
      <sheetName val="Cost_Sheet1"/>
      <sheetName val="chiet_tinh1"/>
      <sheetName val="Conv__Debt1"/>
      <sheetName val="Conv__Pref_1"/>
      <sheetName val="Shares_Outstanding1"/>
      <sheetName val="Firm_Value1"/>
      <sheetName val="Data_Input1"/>
      <sheetName val="SCF_-_BS1"/>
      <sheetName val="BASE_DE_DADOS1"/>
      <sheetName val="Bajada_Cognos1"/>
      <sheetName val="escen99_(2)1"/>
      <sheetName val="Business_Description_BLOCK1"/>
      <sheetName val="1__Descripción_del_Negocio1"/>
      <sheetName val="2__M_Criticidad_Prod_o_Proces1"/>
      <sheetName val="3__Mapa_de_Proceso1"/>
      <sheetName val="4__M_Criticidad_Procesos1"/>
      <sheetName val="Process_Mapping_BLOCK1"/>
      <sheetName val="5__Tarea_1_Produccion_Despa1"/>
      <sheetName val="5__Tarea_2___cambio_de_formIBV1"/>
      <sheetName val="5__Tarea_3__Producción_IBV1"/>
      <sheetName val="5__Tarea_4_Cambio_format_llena1"/>
      <sheetName val="5__Tarea_5__Arranque_Llenadora1"/>
      <sheetName val="5__Tarea_6__Cambio_formato_eti1"/>
      <sheetName val="5__Tarea_7__Produccion_1etique1"/>
      <sheetName val="5__Tarea_8_Producc_2_etiquet1"/>
      <sheetName val="5__Tarea_9_Producc__IBLL1"/>
      <sheetName val="5__Tarea_10_Produccion_Pale1"/>
      <sheetName val="1_1_Acuerdo_de_Nivel_de_Servic1"/>
      <sheetName val="Planificador_Liga1"/>
      <sheetName val="Base_Única_Final_-_Preencher1"/>
      <sheetName val="Instruções_Preenchimento1"/>
      <sheetName val="Base_para_criticar1"/>
      <sheetName val="_Curve_Comp??_x00001"/>
      <sheetName val="General_Downloads1"/>
      <sheetName val="Resumen_General"/>
      <sheetName val="CRITICIDAD_DE_CI"/>
      <sheetName val="Cátalogo_de_CI"/>
      <sheetName val="PLAN_DE_ACCION_Mayo"/>
      <sheetName val="Catálogo_de_CI"/>
      <sheetName val="TABELA_DE_PREÇOS"/>
      <sheetName val="Controls_data"/>
      <sheetName val="12월_판매(권역)"/>
      <sheetName val="7월예산(지점)_(2)"/>
      <sheetName val="kpi(7월_Activity)"/>
      <sheetName val="_7월LE_및_재고"/>
      <sheetName val="_8월재고"/>
      <sheetName val="_8월재고_(2)"/>
      <sheetName val="Operation_Target(중앙)"/>
      <sheetName val="Bud_여행Program"/>
      <sheetName val="월마감_예상"/>
      <sheetName val="HE_JBP"/>
      <sheetName val="HE생_확산계획"/>
      <sheetName val="대신_대은"/>
      <sheetName val="AR_Issue"/>
      <sheetName val="risk_MS"/>
      <sheetName val="risk_Vol"/>
      <sheetName val="IS BS actual"/>
      <sheetName val="Daten"/>
      <sheetName val="Auxiliar-Tabelas"/>
      <sheetName val="Agosto (2)"/>
      <sheetName val="Hl Acum"/>
      <sheetName val="MMR12活动类型"/>
      <sheetName val="Region"/>
      <sheetName val="SKU代码"/>
      <sheetName val="Territory"/>
      <sheetName val="TRCode"/>
      <sheetName val="经销商"/>
      <sheetName val="渠道"/>
      <sheetName val="有效性"/>
      <sheetName val="销售组织"/>
      <sheetName val="_Curve Comp___x0000"/>
      <sheetName val="_Curve Comp_x005f_x005f_x"/>
      <sheetName val="_Curve_Comp_x005f_x005f_x"/>
      <sheetName val="주차통행료"/>
      <sheetName val="유류대 현황"/>
      <sheetName val="집계표"/>
      <sheetName val="정평화"/>
      <sheetName val="김익성"/>
      <sheetName val="최일수"/>
      <sheetName val="정원구"/>
      <sheetName val="문공식"/>
      <sheetName val="박현일"/>
      <sheetName val="김진생"/>
      <sheetName val="조익상"/>
      <sheetName val="박경일"/>
      <sheetName val="박준봉"/>
      <sheetName val="김도균"/>
      <sheetName val="손동필"/>
      <sheetName val="김형선 "/>
      <sheetName val="차량운행일지 요일테이블 업뎃 완료"/>
      <sheetName val="Yield_Curve13"/>
      <sheetName val="Yield_Curve_(2)13"/>
      <sheetName val="Brazil_Sovereign13"/>
      <sheetName val="Brazil_Swap13"/>
      <sheetName val="Price_(2)13"/>
      <sheetName val="Dados_Cash13"/>
      <sheetName val="PackAppear__(2)12"/>
      <sheetName val="Resu_Capex12"/>
      <sheetName val="Efic_Consumo12"/>
      <sheetName val="OOO_(2)12"/>
      <sheetName val="PackAppear_12"/>
      <sheetName val="PQCM_(2)12"/>
      <sheetName val="PQRM_(2)12"/>
      <sheetName val="Res_Executivo12"/>
      <sheetName val="Sig_Cycles_Accts_&amp;_Processes12"/>
      <sheetName val="2001_10_Cerv12"/>
      <sheetName val="PLAN_SAC_Cerveja12"/>
      <sheetName val="PLAN_SAC_RefrigeNanc12"/>
      <sheetName val="2001_04_Cerv12"/>
      <sheetName val="Farol_SAC_Cerveja12"/>
      <sheetName val="2001_04_Nanc12"/>
      <sheetName val="Farol_SAC_Refrigenanc12"/>
      <sheetName val="Calc_112"/>
      <sheetName val="WF_China_YTD10"/>
      <sheetName val="Curve_Comparisons10"/>
      <sheetName val="Riscos-Oport_10"/>
      <sheetName val="_Curve_Comp9"/>
      <sheetName val="Relatório_SDG9"/>
      <sheetName val="EI_Calc9"/>
      <sheetName val="기간별_판매진척10"/>
      <sheetName val="요일_테이블10"/>
      <sheetName val="LBO_Model9"/>
      <sheetName val="Balance_Fin_ajust_20049"/>
      <sheetName val="DATOS_PARA_INTERPOLACION9"/>
      <sheetName val="DPN_VALUE9"/>
      <sheetName val="Tabla_de_amortización9"/>
      <sheetName val="[Curve_Comp????????????Brazil_9"/>
      <sheetName val="Coleta_dados8"/>
      <sheetName val="IV_Confiabilidade8"/>
      <sheetName val="IV_Indisponibilidade8"/>
      <sheetName val="Check_R__Diária8"/>
      <sheetName val="Histórico_Check_R__Diária8"/>
      <sheetName val="Fechamento_Mês8"/>
      <sheetName val="Fechamento_Diário8"/>
      <sheetName val="High_Light8"/>
      <sheetName val="%_Dispersão8"/>
      <sheetName val="%_Reprovação8"/>
      <sheetName val="%_Caco_Limpo_Unid_8"/>
      <sheetName val="Limpeza_de_Flint8"/>
      <sheetName val="Recb__Coop_8"/>
      <sheetName val="Recb__Flint8"/>
      <sheetName val="Apoio_Material8"/>
      <sheetName val="Apoio_transp_8"/>
      <sheetName val="[Curve_Comp_x005f_x0000__x005f_x0000__x0008"/>
      <sheetName val="_Curve_Comp_x005f_x0000__x005f_x0000__x0008"/>
      <sheetName val="_Curve_Comp____________Brazil_8"/>
      <sheetName val="Comparativo_99X008"/>
      <sheetName val="Tabela_de_Parâmetros8"/>
      <sheetName val="Versao_1b_($=R$2,13)8"/>
      <sheetName val="[Curve_Comp8"/>
      <sheetName val="2_주요계수총괄8"/>
      <sheetName val="Pg_18"/>
      <sheetName val="Vol-Mix_x_Seg_AN8"/>
      <sheetName val="5_18"/>
      <sheetName val="INVESTMENTS_EUR8"/>
      <sheetName val="DIVESTMENTS_EUR8"/>
      <sheetName val="Price_DB8"/>
      <sheetName val="_Curve_Comp_x005f_x005f_x005f_x0000__x005f8"/>
      <sheetName val="[Curve_Comp_x005f_x005f_x005f_x0000__x005f8"/>
      <sheetName val="Données_LMU8"/>
      <sheetName val="total_list8"/>
      <sheetName val="Total_CDD8"/>
      <sheetName val="Curve%20Comparisons_xls7"/>
      <sheetName val="LISTA_SUSPENSA7"/>
      <sheetName val="Directrices_de_Metas_20177"/>
      <sheetName val="Base_de_datos6"/>
      <sheetName val="TOP_KPIs_MTM6"/>
      <sheetName val="_Curve_Comp_x005f_x0000__6"/>
      <sheetName val="Data_Validation5"/>
      <sheetName val="PLAN_DE_ACCION5"/>
      <sheetName val="drop_down_menu5"/>
      <sheetName val="Graf_Planeadores5"/>
      <sheetName val="DROP_5"/>
      <sheetName val="Plan_de_Acción5"/>
      <sheetName val="01_2_valor_da_up5"/>
      <sheetName val="LSS_pivot4"/>
      <sheetName val="Value_lists4"/>
      <sheetName val="Share_Price_20024"/>
      <sheetName val="Tela_Inicial4"/>
      <sheetName val="Cálculo_TMEF-TMR4"/>
      <sheetName val="TMEF_-_TMR_1314"/>
      <sheetName val="TMEF_-_TMR_1514"/>
      <sheetName val="2RF98_(Mkt_9%)4"/>
      <sheetName val="Load_Data4"/>
      <sheetName val="[Curve_Comp_x005f_x0000__4"/>
      <sheetName val="Data_Input_Sheet4"/>
      <sheetName val="LEGAL_GUJ3"/>
      <sheetName val="_Curve_Comp_x005f_x005f_x005f_x005f_x005f_x005f_3"/>
      <sheetName val="[Curve_Comp_x005f_x005f_x005f_x005f_x005f_x005f_3"/>
      <sheetName val="RG_Depots3"/>
      <sheetName val="Cover_page3"/>
      <sheetName val="Estrutura_Organizacional3"/>
      <sheetName val="1_DN_Coordenação3"/>
      <sheetName val="1_1_Matriz_Criticidade_Coord3"/>
      <sheetName val="2_DN_Gerência3"/>
      <sheetName val="2_1_Matriz_criticidade_Ger__3"/>
      <sheetName val="1__NASA3"/>
      <sheetName val="2_1_Matriz_criticidade_MP3"/>
      <sheetName val="Check_List-_Gerrot3"/>
      <sheetName val="estagios_e_blocos3"/>
      <sheetName val="Variaveis_Gerais3"/>
      <sheetName val="Disp_20043"/>
      <sheetName val="GEPEG_-_Volume_Mfe_+_Pelotas3"/>
      <sheetName val="dep_pre4"/>
      <sheetName val="No_Tocar3"/>
      <sheetName val="INGRESO_(2)3"/>
      <sheetName val="Cost_Sheet2"/>
      <sheetName val="Cost_Leadership_Capex_Inv_2"/>
      <sheetName val="Cost_Leadership_Capex_Div_2"/>
      <sheetName val="chiet_tinh2"/>
      <sheetName val="BASE_DE_DADOS2"/>
      <sheetName val="Bajada_Cognos2"/>
      <sheetName val="escen99_(2)2"/>
      <sheetName val="Business_Description_BLOCK2"/>
      <sheetName val="1__Descripción_del_Negocio2"/>
      <sheetName val="2__M_Criticidad_Prod_o_Proces2"/>
      <sheetName val="3__Mapa_de_Proceso2"/>
      <sheetName val="4__M_Criticidad_Procesos2"/>
      <sheetName val="Process_Mapping_BLOCK2"/>
      <sheetName val="5__Tarea_1_Produccion_Despa2"/>
      <sheetName val="5__Tarea_2___cambio_de_formIBV2"/>
      <sheetName val="5__Tarea_3__Producción_IBV2"/>
      <sheetName val="5__Tarea_4_Cambio_format_llena2"/>
      <sheetName val="5__Tarea_5__Arranque_Llenadora2"/>
      <sheetName val="5__Tarea_6__Cambio_formato_eti2"/>
      <sheetName val="5__Tarea_7__Produccion_1etique2"/>
      <sheetName val="5__Tarea_8_Producc_2_etiquet2"/>
      <sheetName val="5__Tarea_9_Producc__IBLL2"/>
      <sheetName val="5__Tarea_10_Produccion_Pale2"/>
      <sheetName val="1_1_Acuerdo_de_Nivel_de_Servic2"/>
      <sheetName val="Conv__Debt2"/>
      <sheetName val="Conv__Pref_2"/>
      <sheetName val="Shares_Outstanding2"/>
      <sheetName val="Firm_Value2"/>
      <sheetName val="Data_Input2"/>
      <sheetName val="SCF_-_BS2"/>
      <sheetName val="Planificador_Liga2"/>
      <sheetName val="Base_Única_Final_-_Preencher2"/>
      <sheetName val="Instruções_Preenchimento2"/>
      <sheetName val="Base_para_criticar2"/>
      <sheetName val="_Curve_Comp??_x00002"/>
      <sheetName val="General_Downloads2"/>
      <sheetName val="TABELA_DE_PREÇOS1"/>
      <sheetName val="Resumen_General1"/>
      <sheetName val="CRITICIDAD_DE_CI1"/>
      <sheetName val="Cátalogo_de_CI1"/>
      <sheetName val="PLAN_DE_ACCION_Mayo1"/>
      <sheetName val="Catálogo_de_CI1"/>
      <sheetName val="Controls_data1"/>
      <sheetName val="12월_판매(권역)1"/>
      <sheetName val="7월예산(지점)_(2)1"/>
      <sheetName val="kpi(7월_Activity)1"/>
      <sheetName val="_7월LE_및_재고1"/>
      <sheetName val="_8월재고1"/>
      <sheetName val="_8월재고_(2)1"/>
      <sheetName val="Operation_Target(중앙)1"/>
      <sheetName val="Bud_여행Program1"/>
      <sheetName val="월마감_예상1"/>
      <sheetName val="HE_JBP1"/>
      <sheetName val="HE생_확산계획1"/>
      <sheetName val="대신_대은1"/>
      <sheetName val="AR_Issue1"/>
      <sheetName val="risk_MS1"/>
      <sheetName val="risk_Vol1"/>
      <sheetName val="Info"/>
      <sheetName val="Settings"/>
      <sheetName val="[Curve Comp_x0000__"/>
      <sheetName val="[Curve_Comp_x0000__"/>
      <sheetName val="_Curve_Comp_x0000__x005f1"/>
      <sheetName val="[Curve_Comp_x0000__x005f1"/>
      <sheetName val="_Curve_Comp_x0000__x005f2"/>
      <sheetName val="[Curve_Comp_x0000__x005f2"/>
      <sheetName val="_Curve_Comp_x0000__x005f3"/>
      <sheetName val="[Curve_Comp_x0000__x005f3"/>
      <sheetName val="[Curve Comp_x005f_x005f_x"/>
      <sheetName val="[Curve_Comp_x0000__x0000__x0004"/>
      <sheetName val="_Curve_Comp_x0000__x0000__x0004"/>
      <sheetName val="_Curve_Comp_x005f_x0000__x005f4"/>
      <sheetName val="[Curve_Comp_x005f_x0000__x005f4"/>
      <sheetName val="[Curve_Comp_x0000__1"/>
      <sheetName val="[Curve_Comp_x005f_x005f_x"/>
      <sheetName val="[Curve_Comp_x0000__x0000__x0005"/>
      <sheetName val="_Curve_Comp_x0000__x0000__x0005"/>
      <sheetName val="_Curve_Comp_x005f_x0000__x005f5"/>
      <sheetName val="[Curve_Comp_x005f_x0000__x005f5"/>
      <sheetName val="_Curve_Comp_x0000__3"/>
      <sheetName val="[Curve_Comp_x0000__x0000__x0006"/>
      <sheetName val="_Curve_Comp_x0000__x0000__x0006"/>
      <sheetName val="_Curve_Comp_x005f_x0000__x005f6"/>
      <sheetName val="[Curve_Comp_x005f_x0000__x005f6"/>
      <sheetName val="_Curve_Comp_x0000__4"/>
      <sheetName val="[Curve_Comp_x0000__2"/>
      <sheetName val="_Curve_Comp_x005f_x005f_1"/>
      <sheetName val="[Curve_Comp_x005f_x005f_1"/>
      <sheetName val="_Curve_Comp___x0000"/>
      <sheetName val="_Curve_Comp_x005f_x005f_x1"/>
      <sheetName val="유류대_현황"/>
      <sheetName val="김형선_"/>
      <sheetName val="차량운행일지_요일테이블_업뎃_완료"/>
      <sheetName val="Mapping"/>
      <sheetName val="Yield_Curve14"/>
      <sheetName val="Yield_Curve_(2)14"/>
      <sheetName val="Brazil_Sovereign14"/>
      <sheetName val="Brazil_Swap14"/>
      <sheetName val="Price_(2)14"/>
      <sheetName val="Dados_Cash14"/>
      <sheetName val="PackAppear__(2)13"/>
      <sheetName val="Resu_Capex13"/>
      <sheetName val="Efic_Consumo13"/>
      <sheetName val="OOO_(2)13"/>
      <sheetName val="PackAppear_13"/>
      <sheetName val="PQCM_(2)13"/>
      <sheetName val="PQRM_(2)13"/>
      <sheetName val="Res_Executivo13"/>
      <sheetName val="Sig_Cycles_Accts_&amp;_Processes13"/>
      <sheetName val="2001_10_Cerv13"/>
      <sheetName val="PLAN_SAC_Cerveja13"/>
      <sheetName val="PLAN_SAC_RefrigeNanc13"/>
      <sheetName val="2001_04_Cerv13"/>
      <sheetName val="Farol_SAC_Cerveja13"/>
      <sheetName val="2001_04_Nanc13"/>
      <sheetName val="Farol_SAC_Refrigenanc13"/>
      <sheetName val="Calc_113"/>
      <sheetName val="WF_China_YTD11"/>
      <sheetName val="Curve_Comparisons11"/>
      <sheetName val="Riscos-Oport_11"/>
      <sheetName val="_Curve_Comp10"/>
      <sheetName val="Relatório_SDG10"/>
      <sheetName val="EI_Calc10"/>
      <sheetName val="기간별_판매진척11"/>
      <sheetName val="요일_테이블11"/>
      <sheetName val="LBO_Model10"/>
      <sheetName val="Balance_Fin_ajust_200410"/>
      <sheetName val="DATOS_PARA_INTERPOLACION10"/>
      <sheetName val="DPN_VALUE10"/>
      <sheetName val="Tabla_de_amortización10"/>
      <sheetName val="[Curve_Comp????????????Brazil10"/>
      <sheetName val="Coleta_dados9"/>
      <sheetName val="IV_Confiabilidade9"/>
      <sheetName val="IV_Indisponibilidade9"/>
      <sheetName val="Check_R__Diária9"/>
      <sheetName val="Histórico_Check_R__Diária9"/>
      <sheetName val="Fechamento_Mês9"/>
      <sheetName val="Fechamento_Diário9"/>
      <sheetName val="High_Light9"/>
      <sheetName val="%_Dispersão9"/>
      <sheetName val="%_Reprovação9"/>
      <sheetName val="%_Caco_Limpo_Unid_9"/>
      <sheetName val="Limpeza_de_Flint9"/>
      <sheetName val="Recb__Coop_9"/>
      <sheetName val="Recb__Flint9"/>
      <sheetName val="Apoio_Material9"/>
      <sheetName val="Apoio_transp_9"/>
      <sheetName val="[Curve_Comp_x005f_x0000__x005f_x0000__x0009"/>
      <sheetName val="_Curve_Comp_x005f_x0000__x005f_x0000__x0009"/>
      <sheetName val="_Curve_Comp____________Brazil_9"/>
      <sheetName val="Comparativo_99X009"/>
      <sheetName val="Tabela_de_Parâmetros9"/>
      <sheetName val="Versao_1b_($=R$2,13)9"/>
      <sheetName val="[Curve_Comp9"/>
      <sheetName val="2_주요계수총괄9"/>
      <sheetName val="Pg_19"/>
      <sheetName val="Vol-Mix_x_Seg_AN9"/>
      <sheetName val="5_19"/>
      <sheetName val="INVESTMENTS_EUR9"/>
      <sheetName val="DIVESTMENTS_EUR9"/>
      <sheetName val="Price_DB9"/>
      <sheetName val="_Curve_Comp_x005f_x005f_x005f_x0000__x005f9"/>
      <sheetName val="[Curve_Comp_x005f_x005f_x005f_x0000__x005f9"/>
      <sheetName val="Données_LMU9"/>
      <sheetName val="total_list9"/>
      <sheetName val="Total_CDD9"/>
      <sheetName val="Curve%20Comparisons_xls8"/>
      <sheetName val="LISTA_SUSPENSA8"/>
      <sheetName val="Directrices_de_Metas_20178"/>
      <sheetName val="Base_de_datos7"/>
      <sheetName val="TOP_KPIs_MTM7"/>
      <sheetName val="_Curve_Comp_x005f_x0000__7"/>
      <sheetName val="Data_Validation6"/>
      <sheetName val="PLAN_DE_ACCION6"/>
      <sheetName val="drop_down_menu6"/>
      <sheetName val="Graf_Planeadores6"/>
      <sheetName val="DROP_6"/>
      <sheetName val="Plan_de_Acción6"/>
      <sheetName val="01_2_valor_da_up6"/>
      <sheetName val="LSS_pivot5"/>
      <sheetName val="Value_lists5"/>
      <sheetName val="Share_Price_20025"/>
      <sheetName val="Tela_Inicial5"/>
      <sheetName val="Cálculo_TMEF-TMR5"/>
      <sheetName val="TMEF_-_TMR_1315"/>
      <sheetName val="TMEF_-_TMR_1515"/>
      <sheetName val="2RF98_(Mkt_9%)5"/>
      <sheetName val="Load_Data5"/>
      <sheetName val="[Curve_Comp_x005f_x0000__5"/>
      <sheetName val="_Curve_Comp_5"/>
      <sheetName val="Data_Input_Sheet5"/>
      <sheetName val="LEGAL_GUJ4"/>
      <sheetName val="_Curve_Comp_x005f_x005f_x005f_x005f_x005f_x005f_4"/>
      <sheetName val="[Curve_Comp_x005f_x005f_x005f_x005f_x005f_x005f_4"/>
      <sheetName val="RG_Depots4"/>
      <sheetName val="dep_pre5"/>
      <sheetName val="INGRESO_(2)4"/>
      <sheetName val="No_Tocar4"/>
      <sheetName val="Cover_page4"/>
      <sheetName val="Estrutura_Organizacional4"/>
      <sheetName val="1_DN_Coordenação4"/>
      <sheetName val="1_1_Matriz_Criticidade_Coord4"/>
      <sheetName val="2_DN_Gerência4"/>
      <sheetName val="2_1_Matriz_criticidade_Ger__4"/>
      <sheetName val="1__NASA4"/>
      <sheetName val="2_1_Matriz_criticidade_MP4"/>
      <sheetName val="Check_List-_Gerrot4"/>
      <sheetName val="estagios_e_blocos4"/>
      <sheetName val="Variaveis_Gerais4"/>
      <sheetName val="Disp_20044"/>
      <sheetName val="GEPEG_-_Volume_Mfe_+_Pelotas4"/>
      <sheetName val="Cost_Leadership_Capex_Inv_3"/>
      <sheetName val="Cost_Leadership_Capex_Div_3"/>
      <sheetName val="Cost_Sheet3"/>
      <sheetName val="chiet_tinh3"/>
      <sheetName val="Conv__Debt3"/>
      <sheetName val="Conv__Pref_3"/>
      <sheetName val="Shares_Outstanding3"/>
      <sheetName val="Firm_Value3"/>
      <sheetName val="Data_Input3"/>
      <sheetName val="SCF_-_BS3"/>
      <sheetName val="BASE_DE_DADOS3"/>
      <sheetName val="Bajada_Cognos3"/>
      <sheetName val="escen99_(2)3"/>
      <sheetName val="Business_Description_BLOCK3"/>
      <sheetName val="1__Descripción_del_Negocio3"/>
      <sheetName val="2__M_Criticidad_Prod_o_Proces3"/>
      <sheetName val="3__Mapa_de_Proceso3"/>
      <sheetName val="4__M_Criticidad_Procesos3"/>
      <sheetName val="Process_Mapping_BLOCK3"/>
      <sheetName val="5__Tarea_1_Produccion_Despa3"/>
      <sheetName val="5__Tarea_2___cambio_de_formIBV3"/>
      <sheetName val="5__Tarea_3__Producción_IBV3"/>
      <sheetName val="5__Tarea_4_Cambio_format_llena3"/>
      <sheetName val="5__Tarea_5__Arranque_Llenadora3"/>
      <sheetName val="5__Tarea_6__Cambio_formato_eti3"/>
      <sheetName val="5__Tarea_7__Produccion_1etique3"/>
      <sheetName val="5__Tarea_8_Producc_2_etiquet3"/>
      <sheetName val="5__Tarea_9_Producc__IBLL3"/>
      <sheetName val="5__Tarea_10_Produccion_Pale3"/>
      <sheetName val="1_1_Acuerdo_de_Nivel_de_Servic3"/>
      <sheetName val="Planificador_Liga3"/>
      <sheetName val="Base_Única_Final_-_Preencher3"/>
      <sheetName val="Instruções_Preenchimento3"/>
      <sheetName val="Base_para_criticar3"/>
      <sheetName val="_Curve_Comp??_x00003"/>
      <sheetName val="General_Downloads3"/>
      <sheetName val="Resumen_General2"/>
      <sheetName val="CRITICIDAD_DE_CI2"/>
      <sheetName val="Cátalogo_de_CI2"/>
      <sheetName val="PLAN_DE_ACCION_Mayo2"/>
      <sheetName val="Catálogo_de_CI2"/>
      <sheetName val="TABELA_DE_PREÇOS2"/>
      <sheetName val="Controls_data2"/>
      <sheetName val="12월_판매(권역)2"/>
      <sheetName val="7월예산(지점)_(2)2"/>
      <sheetName val="kpi(7월_Activity)2"/>
      <sheetName val="_7월LE_및_재고2"/>
      <sheetName val="_8월재고2"/>
      <sheetName val="_8월재고_(2)2"/>
      <sheetName val="Operation_Target(중앙)2"/>
      <sheetName val="Bud_여행Program2"/>
      <sheetName val="월마감_예상2"/>
      <sheetName val="HE_JBP2"/>
      <sheetName val="HE생_확산계획2"/>
      <sheetName val="대신_대은2"/>
      <sheetName val="AR_Issue2"/>
      <sheetName val="risk_MS2"/>
      <sheetName val="risk_Vol2"/>
      <sheetName val="IS_BS_actual"/>
      <sheetName val="Agosto_(2)"/>
      <sheetName val="Hl_Acum"/>
      <sheetName val="_Curve_Comp___x00001"/>
      <sheetName val="_Curve_Comp_x005f_x005f_x2"/>
      <sheetName val="유류대_현황1"/>
      <sheetName val="김형선_1"/>
      <sheetName val="차량운행일지_요일테이블_업뎃_완료1"/>
      <sheetName val="[Curve_Comp_3"/>
      <sheetName val="[Curve_Comp_x005f_x005f_x1"/>
      <sheetName val="Yield_Curve15"/>
      <sheetName val="Yield_Curve_(2)15"/>
      <sheetName val="Brazil_Sovereign15"/>
      <sheetName val="Brazil_Swap15"/>
      <sheetName val="Price_(2)15"/>
      <sheetName val="Dados_Cash15"/>
      <sheetName val="PackAppear__(2)14"/>
      <sheetName val="Resu_Capex14"/>
      <sheetName val="Efic_Consumo14"/>
      <sheetName val="OOO_(2)14"/>
      <sheetName val="PackAppear_14"/>
      <sheetName val="PQCM_(2)14"/>
      <sheetName val="PQRM_(2)14"/>
      <sheetName val="Res_Executivo14"/>
      <sheetName val="Sig_Cycles_Accts_&amp;_Processes14"/>
      <sheetName val="2001_10_Cerv14"/>
      <sheetName val="PLAN_SAC_Cerveja14"/>
      <sheetName val="PLAN_SAC_RefrigeNanc14"/>
      <sheetName val="2001_04_Cerv14"/>
      <sheetName val="Farol_SAC_Cerveja14"/>
      <sheetName val="2001_04_Nanc14"/>
      <sheetName val="Farol_SAC_Refrigenanc14"/>
      <sheetName val="Calc_114"/>
      <sheetName val="WF_China_YTD12"/>
      <sheetName val="Curve_Comparisons12"/>
      <sheetName val="Riscos-Oport_12"/>
      <sheetName val="_Curve_Comp11"/>
      <sheetName val="Relatório_SDG11"/>
      <sheetName val="EI_Calc11"/>
      <sheetName val="기간별_판매진척12"/>
      <sheetName val="요일_테이블12"/>
      <sheetName val="LBO_Model11"/>
      <sheetName val="Balance_Fin_ajust_200411"/>
      <sheetName val="DATOS_PARA_INTERPOLACION11"/>
      <sheetName val="DPN_VALUE11"/>
      <sheetName val="Tabla_de_amortización11"/>
      <sheetName val="[Curve_Comp????????????Brazil11"/>
      <sheetName val="Coleta_dados10"/>
      <sheetName val="IV_Confiabilidade10"/>
      <sheetName val="IV_Indisponibilidade10"/>
      <sheetName val="Check_R__Diária10"/>
      <sheetName val="Histórico_Check_R__Diária10"/>
      <sheetName val="Fechamento_Mês10"/>
      <sheetName val="Fechamento_Diário10"/>
      <sheetName val="High_Light10"/>
      <sheetName val="%_Dispersão10"/>
      <sheetName val="%_Reprovação10"/>
      <sheetName val="%_Caco_Limpo_Unid_10"/>
      <sheetName val="Limpeza_de_Flint10"/>
      <sheetName val="Recb__Coop_10"/>
      <sheetName val="Recb__Flint10"/>
      <sheetName val="Apoio_Material10"/>
      <sheetName val="Apoio_transp_10"/>
      <sheetName val="[Curve_Comp_x005f_x0000__x005f_x0000__x0010"/>
      <sheetName val="_Curve_Comp_x005f_x0000__x005f_x0000__x0010"/>
      <sheetName val="_Curve_Comp____________Brazil10"/>
      <sheetName val="Comparativo_99X0010"/>
      <sheetName val="Tabela_de_Parâmetros10"/>
      <sheetName val="Versao_1b_($=R$2,13)10"/>
      <sheetName val="[Curve_Comp10"/>
      <sheetName val="2_주요계수총괄10"/>
      <sheetName val="Pg_110"/>
      <sheetName val="Vol-Mix_x_Seg_AN10"/>
      <sheetName val="5_110"/>
      <sheetName val="INVESTMENTS_EUR10"/>
      <sheetName val="DIVESTMENTS_EUR10"/>
      <sheetName val="Price_DB10"/>
      <sheetName val="_Curve_Comp_x005f_x005f_x005f_x0000__x00510"/>
      <sheetName val="[Curve_Comp_x005f_x005f_x005f_x0000__x00510"/>
      <sheetName val="Données_LMU10"/>
      <sheetName val="total_list10"/>
      <sheetName val="Total_CDD10"/>
      <sheetName val="Curve%20Comparisons_xls9"/>
      <sheetName val="LISTA_SUSPENSA9"/>
      <sheetName val="Directrices_de_Metas_20179"/>
      <sheetName val="Base_de_datos8"/>
      <sheetName val="TOP_KPIs_MTM8"/>
      <sheetName val="_Curve_Comp_x005f_x0000__8"/>
      <sheetName val="Data_Validation7"/>
      <sheetName val="PLAN_DE_ACCION7"/>
      <sheetName val="drop_down_menu7"/>
      <sheetName val="Graf_Planeadores7"/>
      <sheetName val="DROP_7"/>
      <sheetName val="Plan_de_Acción7"/>
      <sheetName val="01_2_valor_da_up7"/>
      <sheetName val="LSS_pivot6"/>
      <sheetName val="Value_lists6"/>
      <sheetName val="Share_Price_20026"/>
      <sheetName val="Tela_Inicial6"/>
      <sheetName val="Cálculo_TMEF-TMR6"/>
      <sheetName val="TMEF_-_TMR_1316"/>
      <sheetName val="TMEF_-_TMR_1516"/>
      <sheetName val="2RF98_(Mkt_9%)6"/>
      <sheetName val="Load_Data6"/>
      <sheetName val="[Curve_Comp_x005f_x0000__6"/>
      <sheetName val="Data_Input_Sheet6"/>
      <sheetName val="LEGAL_GUJ5"/>
      <sheetName val="_Curve_Comp_x005f_x005f_x005f_x005f_x005f_x005f_5"/>
      <sheetName val="[Curve_Comp_x005f_x005f_x005f_x005f_x005f_x005f_5"/>
      <sheetName val="RG_Depots5"/>
      <sheetName val="dep_pre6"/>
      <sheetName val="INGRESO_(2)5"/>
      <sheetName val="No_Tocar5"/>
      <sheetName val="Cover_page5"/>
      <sheetName val="Estrutura_Organizacional5"/>
      <sheetName val="1_DN_Coordenação5"/>
      <sheetName val="1_1_Matriz_Criticidade_Coord5"/>
      <sheetName val="2_DN_Gerência5"/>
      <sheetName val="2_1_Matriz_criticidade_Ger__5"/>
      <sheetName val="1__NASA5"/>
      <sheetName val="2_1_Matriz_criticidade_MP5"/>
      <sheetName val="Check_List-_Gerrot5"/>
      <sheetName val="estagios_e_blocos5"/>
      <sheetName val="Variaveis_Gerais5"/>
      <sheetName val="Disp_20045"/>
      <sheetName val="GEPEG_-_Volume_Mfe_+_Pelotas5"/>
      <sheetName val="Cost_Leadership_Capex_Inv_4"/>
      <sheetName val="Cost_Leadership_Capex_Div_4"/>
      <sheetName val="Cost_Sheet4"/>
      <sheetName val="chiet_tinh4"/>
      <sheetName val="Conv__Debt4"/>
      <sheetName val="Conv__Pref_4"/>
      <sheetName val="Shares_Outstanding4"/>
      <sheetName val="Firm_Value4"/>
      <sheetName val="Data_Input4"/>
      <sheetName val="SCF_-_BS4"/>
      <sheetName val="BASE_DE_DADOS4"/>
      <sheetName val="Bajada_Cognos4"/>
      <sheetName val="escen99_(2)4"/>
      <sheetName val="Business_Description_BLOCK4"/>
      <sheetName val="1__Descripción_del_Negocio4"/>
      <sheetName val="2__M_Criticidad_Prod_o_Proces4"/>
      <sheetName val="3__Mapa_de_Proceso4"/>
      <sheetName val="4__M_Criticidad_Procesos4"/>
      <sheetName val="Process_Mapping_BLOCK4"/>
      <sheetName val="5__Tarea_1_Produccion_Despa4"/>
      <sheetName val="5__Tarea_2___cambio_de_formIBV4"/>
      <sheetName val="5__Tarea_3__Producción_IBV4"/>
      <sheetName val="5__Tarea_4_Cambio_format_llena4"/>
      <sheetName val="5__Tarea_5__Arranque_Llenadora4"/>
      <sheetName val="5__Tarea_6__Cambio_formato_eti4"/>
      <sheetName val="5__Tarea_7__Produccion_1etique4"/>
      <sheetName val="5__Tarea_8_Producc_2_etiquet4"/>
      <sheetName val="5__Tarea_9_Producc__IBLL4"/>
      <sheetName val="5__Tarea_10_Produccion_Pale4"/>
      <sheetName val="1_1_Acuerdo_de_Nivel_de_Servic4"/>
      <sheetName val="Planificador_Liga4"/>
      <sheetName val="Base_Única_Final_-_Preencher4"/>
      <sheetName val="Instruções_Preenchimento4"/>
      <sheetName val="Base_para_criticar4"/>
      <sheetName val="_Curve_Comp??_x00004"/>
      <sheetName val="General_Downloads4"/>
      <sheetName val="Resumen_General3"/>
      <sheetName val="CRITICIDAD_DE_CI3"/>
      <sheetName val="Cátalogo_de_CI3"/>
      <sheetName val="PLAN_DE_ACCION_Mayo3"/>
      <sheetName val="Catálogo_de_CI3"/>
      <sheetName val="TABELA_DE_PREÇOS3"/>
      <sheetName val="Controls_data3"/>
      <sheetName val="12월_판매(권역)3"/>
      <sheetName val="7월예산(지점)_(2)3"/>
      <sheetName val="kpi(7월_Activity)3"/>
      <sheetName val="_7월LE_및_재고3"/>
      <sheetName val="_8월재고3"/>
      <sheetName val="_8월재고_(2)3"/>
      <sheetName val="Operation_Target(중앙)3"/>
      <sheetName val="Bud_여행Program3"/>
      <sheetName val="월마감_예상3"/>
      <sheetName val="HE_JBP3"/>
      <sheetName val="HE생_확산계획3"/>
      <sheetName val="대신_대은3"/>
      <sheetName val="AR_Issue3"/>
      <sheetName val="risk_MS3"/>
      <sheetName val="risk_Vol3"/>
      <sheetName val="IS_BS_actual1"/>
      <sheetName val="Agosto_(2)1"/>
      <sheetName val="Hl_Acum1"/>
      <sheetName val="_Curve_Comp___x00002"/>
      <sheetName val="_Curve_Comp_x005f_x005f_x3"/>
      <sheetName val="유류대_현황2"/>
      <sheetName val="김형선_2"/>
      <sheetName val="차량운행일지_요일테이블_업뎃_완료2"/>
      <sheetName val="[Curve_Comp_x005f_x005f_x2"/>
      <sheetName val="PARTICIPACION"/>
      <sheetName val="FJJX Bud_IB"/>
      <sheetName val="JL"/>
      <sheetName val="Categories"/>
      <sheetName val="TM1.SETTINGS"/>
      <sheetName val="Gente_gestao"/>
      <sheetName val="Factor"/>
      <sheetName val="Estructura SAP"/>
      <sheetName val="Factor 8 Oz"/>
      <sheetName val="control sheet"/>
      <sheetName val="Input sheet"/>
      <sheetName val="Base"/>
      <sheetName val="Ppto"/>
      <sheetName val="Target Book"/>
      <sheetName val="产品相关信息汇总表"/>
      <sheetName val="목록"/>
      <sheetName val="Recargas"/>
      <sheetName val="Tablas"/>
      <sheetName val="Q03"/>
      <sheetName val="Integração - Earned Value"/>
      <sheetName val="Tabelas"/>
      <sheetName val="VICTEL ($R)"/>
      <sheetName val="PLMM-R$"/>
      <sheetName val="BC - Main model"/>
      <sheetName val="Desconto"/>
      <sheetName val="Lojas"/>
      <sheetName val="BEAT "/>
      <sheetName val="CIEL PURIFICADA "/>
      <sheetName val="DISNEY "/>
      <sheetName val="FANTA "/>
      <sheetName val="FRESCA "/>
      <sheetName val="COCA-COLA EXPORT"/>
      <sheetName val="COCA-COLA LIGHT "/>
      <sheetName val="LIFT "/>
      <sheetName val="NESTEA "/>
      <sheetName val="POWERADE "/>
      <sheetName val="SENZAO "/>
      <sheetName val="SPRITE"/>
      <sheetName val="Estructura_SAP"/>
      <sheetName val="Factor_8_Oz"/>
      <sheetName val="control_sheet"/>
      <sheetName val="Input_sheet"/>
      <sheetName val="Yield_Curve16"/>
      <sheetName val="Yield_Curve_(2)16"/>
      <sheetName val="Brazil_Sovereign16"/>
      <sheetName val="Brazil_Swap16"/>
      <sheetName val="Price_(2)16"/>
      <sheetName val="Dados_Cash16"/>
      <sheetName val="PackAppear__(2)15"/>
      <sheetName val="Resu_Capex15"/>
      <sheetName val="Efic_Consumo15"/>
      <sheetName val="OOO_(2)15"/>
      <sheetName val="PackAppear_15"/>
      <sheetName val="PQCM_(2)15"/>
      <sheetName val="PQRM_(2)15"/>
      <sheetName val="Res_Executivo15"/>
      <sheetName val="2001_10_Cerv15"/>
      <sheetName val="PLAN_SAC_Cerveja15"/>
      <sheetName val="PLAN_SAC_RefrigeNanc15"/>
      <sheetName val="2001_04_Cerv15"/>
      <sheetName val="Farol_SAC_Cerveja15"/>
      <sheetName val="2001_04_Nanc15"/>
      <sheetName val="Farol_SAC_Refrigenanc15"/>
      <sheetName val="Sig_Cycles_Accts_&amp;_Processes15"/>
      <sheetName val="Calc_115"/>
      <sheetName val="WF_China_YTD13"/>
      <sheetName val="Curve_Comparisons13"/>
      <sheetName val="Riscos-Oport_13"/>
      <sheetName val="_Curve_Comp12"/>
      <sheetName val="Relatório_SDG12"/>
      <sheetName val="기간별_판매진척13"/>
      <sheetName val="요일_테이블13"/>
      <sheetName val="LBO_Model12"/>
      <sheetName val="EI_Calc12"/>
      <sheetName val="Balance_Fin_ajust_200412"/>
      <sheetName val="DATOS_PARA_INTERPOLACION12"/>
      <sheetName val="DPN_VALUE12"/>
      <sheetName val="Tabla_de_amortización12"/>
      <sheetName val="[Curve_Comp????????????Brazil12"/>
      <sheetName val="[Curve_Comp11"/>
      <sheetName val="Coleta_dados11"/>
      <sheetName val="IV_Confiabilidade11"/>
      <sheetName val="IV_Indisponibilidade11"/>
      <sheetName val="Check_R__Diária11"/>
      <sheetName val="Histórico_Check_R__Diária11"/>
      <sheetName val="[Curve_Comp_x005f_x0000__x005f_x0000__x0011"/>
      <sheetName val="_Curve_Comp_x005f_x0000__x005f_x0000__x0011"/>
      <sheetName val="_Curve_Comp____________Brazil11"/>
      <sheetName val="Comparativo_99X0011"/>
      <sheetName val="Tabela_de_Parâmetros11"/>
      <sheetName val="Versao_1b_($=R$2,13)11"/>
      <sheetName val="2_주요계수총괄11"/>
      <sheetName val="Pg_111"/>
      <sheetName val="Fechamento_Mês11"/>
      <sheetName val="Fechamento_Diário11"/>
      <sheetName val="High_Light11"/>
      <sheetName val="%_Dispersão11"/>
      <sheetName val="%_Reprovação11"/>
      <sheetName val="%_Caco_Limpo_Unid_11"/>
      <sheetName val="Limpeza_de_Flint11"/>
      <sheetName val="Recb__Coop_11"/>
      <sheetName val="Recb__Flint11"/>
      <sheetName val="Apoio_Material11"/>
      <sheetName val="Apoio_transp_11"/>
      <sheetName val="Vol-Mix_x_Seg_AN11"/>
      <sheetName val="5_111"/>
      <sheetName val="INVESTMENTS_EUR11"/>
      <sheetName val="DIVESTMENTS_EUR11"/>
      <sheetName val="Price_DB11"/>
      <sheetName val="_Curve_Comp_x005f_x005f_x005f_x0000__x00511"/>
      <sheetName val="[Curve_Comp_x005f_x005f_x005f_x0000__x00511"/>
      <sheetName val="Données_LMU11"/>
      <sheetName val="Total_CDD11"/>
      <sheetName val="total_list11"/>
      <sheetName val="Curve%20Comparisons_xls10"/>
      <sheetName val="LISTA_SUSPENSA10"/>
      <sheetName val="Directrices_de_Metas_201710"/>
      <sheetName val="_Curve_Comp_x005f_x0000__9"/>
      <sheetName val="Base_de_datos9"/>
      <sheetName val="TOP_KPIs_MTM9"/>
      <sheetName val="Data_Validation8"/>
      <sheetName val="PLAN_DE_ACCION8"/>
      <sheetName val="drop_down_menu8"/>
      <sheetName val="Graf_Planeadores8"/>
      <sheetName val="DROP_8"/>
      <sheetName val="Plan_de_Acción8"/>
      <sheetName val="01_2_valor_da_up8"/>
      <sheetName val="LSS_pivot7"/>
      <sheetName val="Value_lists7"/>
      <sheetName val="Share_Price_20027"/>
      <sheetName val="Tela_Inicial7"/>
      <sheetName val="Cálculo_TMEF-TMR7"/>
      <sheetName val="TMEF_-_TMR_1317"/>
      <sheetName val="TMEF_-_TMR_1517"/>
      <sheetName val="2RF98_(Mkt_9%)7"/>
      <sheetName val="Load_Data7"/>
      <sheetName val="Cost_Sheet5"/>
      <sheetName val="[Curve_Comp_x005f_x0000__7"/>
      <sheetName val="Data_Input_Sheet7"/>
      <sheetName val="LEGAL_GUJ6"/>
      <sheetName val="_Curve_Comp_x005f_x005f_x005f_x005f_x005f_x005f_6"/>
      <sheetName val="[Curve_Comp_x005f_x005f_x005f_x005f_x005f_x005f_6"/>
      <sheetName val="RG_Depots6"/>
      <sheetName val="Cover_page6"/>
      <sheetName val="Estrutura_Organizacional6"/>
      <sheetName val="1_DN_Coordenação6"/>
      <sheetName val="1_1_Matriz_Criticidade_Coord6"/>
      <sheetName val="2_DN_Gerência6"/>
      <sheetName val="2_1_Matriz_criticidade_Ger__6"/>
      <sheetName val="1__NASA6"/>
      <sheetName val="2_1_Matriz_criticidade_MP6"/>
      <sheetName val="Check_List-_Gerrot6"/>
      <sheetName val="estagios_e_blocos6"/>
      <sheetName val="Variaveis_Gerais6"/>
      <sheetName val="Disp_20046"/>
      <sheetName val="GEPEG_-_Volume_Mfe_+_Pelotas6"/>
      <sheetName val="dep_pre7"/>
      <sheetName val="INGRESO_(2)6"/>
      <sheetName val="No_Tocar6"/>
      <sheetName val="Cost_Leadership_Capex_Inv_5"/>
      <sheetName val="Cost_Leadership_Capex_Div_5"/>
      <sheetName val="chiet_tinh5"/>
      <sheetName val="Bajada_Cognos5"/>
      <sheetName val="BASE_DE_DADOS5"/>
      <sheetName val="escen99_(2)5"/>
      <sheetName val="Planificador_Liga5"/>
      <sheetName val="Base_Única_Final_-_Preencher5"/>
      <sheetName val="Instruções_Preenchimento5"/>
      <sheetName val="Base_para_criticar5"/>
      <sheetName val="_Curve_Comp??_x00005"/>
      <sheetName val="Business_Description_BLOCK5"/>
      <sheetName val="1__Descripción_del_Negocio5"/>
      <sheetName val="2__M_Criticidad_Prod_o_Proces5"/>
      <sheetName val="3__Mapa_de_Proceso5"/>
      <sheetName val="4__M_Criticidad_Procesos5"/>
      <sheetName val="Process_Mapping_BLOCK5"/>
      <sheetName val="5__Tarea_1_Produccion_Despa5"/>
      <sheetName val="5__Tarea_2___cambio_de_formIBV5"/>
      <sheetName val="5__Tarea_3__Producción_IBV5"/>
      <sheetName val="5__Tarea_4_Cambio_format_llena5"/>
      <sheetName val="5__Tarea_5__Arranque_Llenadora5"/>
      <sheetName val="5__Tarea_6__Cambio_formato_eti5"/>
      <sheetName val="5__Tarea_7__Produccion_1etique5"/>
      <sheetName val="5__Tarea_8_Producc_2_etiquet5"/>
      <sheetName val="5__Tarea_9_Producc__IBLL5"/>
      <sheetName val="5__Tarea_10_Produccion_Pale5"/>
      <sheetName val="1_1_Acuerdo_de_Nivel_de_Servic5"/>
      <sheetName val="Conv__Debt5"/>
      <sheetName val="Conv__Pref_5"/>
      <sheetName val="Shares_Outstanding5"/>
      <sheetName val="Firm_Value5"/>
      <sheetName val="Data_Input5"/>
      <sheetName val="SCF_-_BS5"/>
      <sheetName val="General_Downloads5"/>
      <sheetName val="TABELA_DE_PREÇOS4"/>
      <sheetName val="IS_BS_actual2"/>
      <sheetName val="Resumen_General4"/>
      <sheetName val="CRITICIDAD_DE_CI4"/>
      <sheetName val="Cátalogo_de_CI4"/>
      <sheetName val="PLAN_DE_ACCION_Mayo4"/>
      <sheetName val="Catálogo_de_CI4"/>
      <sheetName val="Agosto_(2)2"/>
      <sheetName val="Hl_Acum2"/>
      <sheetName val="Controls_data4"/>
      <sheetName val="12월_판매(권역)4"/>
      <sheetName val="7월예산(지점)_(2)4"/>
      <sheetName val="kpi(7월_Activity)4"/>
      <sheetName val="_7월LE_및_재고4"/>
      <sheetName val="_8월재고4"/>
      <sheetName val="_8월재고_(2)4"/>
      <sheetName val="Operation_Target(중앙)4"/>
      <sheetName val="Bud_여행Program4"/>
      <sheetName val="월마감_예상4"/>
      <sheetName val="HE_JBP4"/>
      <sheetName val="HE생_확산계획4"/>
      <sheetName val="대신_대은4"/>
      <sheetName val="AR_Issue4"/>
      <sheetName val="risk_MS4"/>
      <sheetName val="risk_Vol4"/>
      <sheetName val="_Curve_Comp___x00003"/>
      <sheetName val="_Curve_Comp_x005f_x005f_x4"/>
      <sheetName val="유류대_현황3"/>
      <sheetName val="김형선_3"/>
      <sheetName val="차량운행일지_요일테이블_업뎃_완료3"/>
      <sheetName val="[Curve_Comp_x005f_x005f_x3"/>
      <sheetName val="FJJX_Bud_IB"/>
      <sheetName val="Zones"/>
      <sheetName val="Brands"/>
      <sheetName val="_Curve Comp_x"/>
      <sheetName val="_Curve_Comp_x"/>
      <sheetName val="[Curve Comp_x"/>
      <sheetName val="_Curve_Comp_x0000__x005f4"/>
      <sheetName val="[Curve_Comp_x0000__x005f4"/>
      <sheetName val="[Curve_Comp_x"/>
      <sheetName val="_Curve_Comp_x0000__x005f5"/>
      <sheetName val="[Curve_Comp_x0000__x005f5"/>
      <sheetName val="_Curve_Comp_x0000__x005f6"/>
      <sheetName val="[Curve_Comp_x0000__x005f6"/>
      <sheetName val="[Curve_Comp_x0000__x0000__x0007"/>
      <sheetName val="_Curve_Comp_x0000__x0000__x0007"/>
      <sheetName val="_Curve_Comp_x005f_x0000__x005f7"/>
      <sheetName val="[Curve_Comp_x005f_x0000__x005f7"/>
      <sheetName val="_Curve_Comp_x005f_x005f_2"/>
      <sheetName val="[Curve_Comp_x005f_x005f_2"/>
      <sheetName val="[Curve_Comp_x0000__x0000__x0008"/>
      <sheetName val="_Curve_Comp_x0000__x0000__x0008"/>
      <sheetName val="_Curve_Comp_x005f_x0000__x005f8"/>
      <sheetName val="[Curve_Comp_x005f_x0000__x005f8"/>
      <sheetName val="_Curve_Comp_x0000__6"/>
      <sheetName val="[Curve_Comp_x0000__4"/>
      <sheetName val="_Curve_Comp_x005f_x005f_3"/>
      <sheetName val="[Curve_Comp_x005f_x005f_3"/>
      <sheetName val="_Curve_Comp_x1"/>
      <sheetName val="[Curve_Comp_x0000__x0000__x0009"/>
      <sheetName val="_Curve_Comp_x0000__x0000__x0009"/>
      <sheetName val="_Curve_Comp_x005f_x0000__x005f9"/>
      <sheetName val="[Curve_Comp_x005f_x0000__x005f9"/>
      <sheetName val="_Curve_Comp_x0000__7"/>
      <sheetName val="[Curve_Comp_x0000__5"/>
      <sheetName val="_Curve_Comp_x005f_x005f_4"/>
      <sheetName val="[Curve_Comp_x005f_x005f_4"/>
      <sheetName val="_Curve_Comp_x2"/>
      <sheetName val="[Curve_Comp_x1"/>
      <sheetName val="[Curve_Comp_x0000__x0000__x0010"/>
      <sheetName val="_Curve_Comp_x0000__x0000__x0010"/>
      <sheetName val="_Curve_Comp_x005f_x0000__x00510"/>
      <sheetName val="[Curve_Comp_x005f_x0000__x00510"/>
      <sheetName val="_Curve_Comp_x0000__8"/>
      <sheetName val="[Curve_Comp_x0000__6"/>
      <sheetName val="_Curve_Comp_x005f_x005f_5"/>
      <sheetName val="[Curve_Comp_x005f_x005f_5"/>
      <sheetName val="_Curve_Comp_x3"/>
      <sheetName val="[Curve_Comp_x2"/>
      <sheetName val="Balances al 30.06.2019"/>
      <sheetName val="POCM 배송지"/>
      <sheetName val="参数"/>
      <sheetName val="_Curve_Comp_x0000__x005f7"/>
      <sheetName val="[Curve_Comp_x0000__x005f7"/>
      <sheetName val="_Curve_Comp_x0000__x005f8"/>
      <sheetName val="[Curve_Comp_x0000__x005f8"/>
      <sheetName val="_Curve_Comp_x0000__x005f9"/>
      <sheetName val="[Curve_Comp_x0000__x005f9"/>
      <sheetName val="_Curve_Comp_x0000__x00510"/>
      <sheetName val="[Curve_Comp_x0000__x00510"/>
      <sheetName val="_Curve_Comp_x0000__x0000__x0000"/>
      <sheetName val="[Curve_Comp_x0001"/>
      <sheetName val="_Curve_Comp_x0001"/>
      <sheetName val="[Curve_Comp_x0000"/>
      <sheetName val="[Curve_Comp_x0002"/>
      <sheetName val="_Curve_Comp_x0002"/>
      <sheetName val="_Curve_Comp_"/>
      <sheetName val="[Curve_Comp_x0003"/>
      <sheetName val="_Curve_Comp_x0003"/>
      <sheetName val="_Curve_Comp_1"/>
      <sheetName val="_Curve_Comp_x0000__2"/>
      <sheetName val="[Curve_Comp_"/>
      <sheetName val="_Curve_Comp_x005f1"/>
      <sheetName val="[Curve_Comp_x005f1"/>
      <sheetName val="_Curve_Comp_x005f2"/>
      <sheetName val="[Curve_Comp_x005f2"/>
      <sheetName val="_Curve_Comp_x005f3"/>
      <sheetName val="[Curve_Comp_x005f3"/>
      <sheetName val="[Curve_Comp_x0004"/>
      <sheetName val="_Curve_Comp_x0004"/>
      <sheetName val="[Curve_Comp_1"/>
      <sheetName val="[Curve_Comp_x0005"/>
      <sheetName val="_Curve_Comp_x0005"/>
      <sheetName val="_Curve_Comp_3"/>
      <sheetName val="[Curve_Comp_x0006"/>
      <sheetName val="_Curve_Comp_x0006"/>
      <sheetName val="_Curve_Comp_4"/>
      <sheetName val="[Curve_Comp_2"/>
      <sheetName val="BBTS USADOS"/>
      <sheetName val="ANALISE DO LOSS"/>
      <sheetName val="Yield_Curve17"/>
      <sheetName val="Yield_Curve_(2)17"/>
      <sheetName val="Brazil_Sovereign17"/>
      <sheetName val="Brazil_Swap17"/>
      <sheetName val="Price_(2)17"/>
      <sheetName val="Dados_Cash17"/>
      <sheetName val="PackAppear__(2)16"/>
      <sheetName val="Resu_Capex16"/>
      <sheetName val="Efic_Consumo16"/>
      <sheetName val="OOO_(2)16"/>
      <sheetName val="PackAppear_16"/>
      <sheetName val="PQCM_(2)16"/>
      <sheetName val="PQRM_(2)16"/>
      <sheetName val="Res_Executivo16"/>
      <sheetName val="2001_10_Cerv16"/>
      <sheetName val="PLAN_SAC_Cerveja16"/>
      <sheetName val="PLAN_SAC_RefrigeNanc16"/>
      <sheetName val="2001_04_Cerv16"/>
      <sheetName val="Farol_SAC_Cerveja16"/>
      <sheetName val="2001_04_Nanc16"/>
      <sheetName val="Farol_SAC_Refrigenanc16"/>
      <sheetName val="Sig_Cycles_Accts_&amp;_Processes16"/>
      <sheetName val="Calc_116"/>
      <sheetName val="WF_China_YTD14"/>
      <sheetName val="Curve_Comparisons14"/>
      <sheetName val="Riscos-Oport_14"/>
      <sheetName val="_Curve_Comp13"/>
      <sheetName val="Relatório_SDG13"/>
      <sheetName val="기간별_판매진척14"/>
      <sheetName val="요일_테이블14"/>
      <sheetName val="LBO_Model13"/>
      <sheetName val="EI_Calc13"/>
      <sheetName val="[Curve_Comp????????????Brazil13"/>
      <sheetName val="[Curve_Comp12"/>
      <sheetName val="Balance_Fin_ajust_200413"/>
      <sheetName val="DATOS_PARA_INTERPOLACION13"/>
      <sheetName val="DPN_VALUE13"/>
      <sheetName val="Tabla_de_amortización13"/>
      <sheetName val="Coleta_dados12"/>
      <sheetName val="IV_Confiabilidade12"/>
      <sheetName val="IV_Indisponibilidade12"/>
      <sheetName val="Check_R__Diária12"/>
      <sheetName val="Histórico_Check_R__Diária12"/>
      <sheetName val="[Curve_Comp_x005f_x0000__x005f_x0000__x0012"/>
      <sheetName val="_Curve_Comp_x005f_x0000__x005f_x0000__x0012"/>
      <sheetName val="_Curve_Comp____________Brazil12"/>
      <sheetName val="Pg_112"/>
      <sheetName val="2_주요계수총괄12"/>
      <sheetName val="Comparativo_99X0012"/>
      <sheetName val="Tabela_de_Parâmetros12"/>
      <sheetName val="Versao_1b_($=R$2,13)12"/>
      <sheetName val="Fechamento_Mês12"/>
      <sheetName val="Fechamento_Diário12"/>
      <sheetName val="High_Light12"/>
      <sheetName val="%_Dispersão12"/>
      <sheetName val="%_Reprovação12"/>
      <sheetName val="%_Caco_Limpo_Unid_12"/>
      <sheetName val="Limpeza_de_Flint12"/>
      <sheetName val="Recb__Coop_12"/>
      <sheetName val="Recb__Flint12"/>
      <sheetName val="Apoio_Material12"/>
      <sheetName val="Apoio_transp_12"/>
      <sheetName val="Vol-Mix_x_Seg_AN12"/>
      <sheetName val="5_112"/>
      <sheetName val="INVESTMENTS_EUR12"/>
      <sheetName val="DIVESTMENTS_EUR12"/>
      <sheetName val="Price_DB12"/>
      <sheetName val="_Curve_Comp_x005f_x005f_x005f_x0000__x00512"/>
      <sheetName val="[Curve_Comp_x005f_x005f_x005f_x0000__x00512"/>
      <sheetName val="Données_LMU12"/>
      <sheetName val="total_list12"/>
      <sheetName val="Total_CDD12"/>
      <sheetName val="Curve%20Comparisons_xls11"/>
      <sheetName val="Base_de_datos10"/>
      <sheetName val="TOP_KPIs_MTM10"/>
      <sheetName val="Directrices_de_Metas_201711"/>
      <sheetName val="LISTA_SUSPENSA11"/>
      <sheetName val="_Curve_Comp_x005f_x0000__10"/>
      <sheetName val="Data_Validation9"/>
      <sheetName val="PLAN_DE_ACCION9"/>
      <sheetName val="drop_down_menu9"/>
      <sheetName val="Graf_Planeadores9"/>
      <sheetName val="DROP_9"/>
      <sheetName val="Plan_de_Acción9"/>
      <sheetName val="01_2_valor_da_up9"/>
      <sheetName val="LSS_pivot8"/>
      <sheetName val="Value_lists8"/>
      <sheetName val="Share_Price_20028"/>
      <sheetName val="Tela_Inicial8"/>
      <sheetName val="Cálculo_TMEF-TMR8"/>
      <sheetName val="TMEF_-_TMR_1318"/>
      <sheetName val="TMEF_-_TMR_1518"/>
      <sheetName val="2RF98_(Mkt_9%)8"/>
      <sheetName val="Data_Input_Sheet8"/>
      <sheetName val="Load_Data8"/>
      <sheetName val="dep_pre8"/>
      <sheetName val="[Curve_Comp_x005f_x0000__8"/>
      <sheetName val="LEGAL_GUJ7"/>
      <sheetName val="_Curve_Comp_x005f_x005f_x005f_x005f_x005f_x005f_7"/>
      <sheetName val="[Curve_Comp_x005f_x005f_x005f_x005f_x005f_x005f_7"/>
      <sheetName val="RG_Depots7"/>
      <sheetName val="INGRESO_(2)7"/>
      <sheetName val="No_Tocar7"/>
      <sheetName val="Cover_page7"/>
      <sheetName val="Estrutura_Organizacional7"/>
      <sheetName val="1_DN_Coordenação7"/>
      <sheetName val="1_1_Matriz_Criticidade_Coord7"/>
      <sheetName val="2_DN_Gerência7"/>
      <sheetName val="2_1_Matriz_criticidade_Ger__7"/>
      <sheetName val="1__NASA7"/>
      <sheetName val="2_1_Matriz_criticidade_MP7"/>
      <sheetName val="Check_List-_Gerrot7"/>
      <sheetName val="estagios_e_blocos7"/>
      <sheetName val="Variaveis_Gerais7"/>
      <sheetName val="Disp_20047"/>
      <sheetName val="GEPEG_-_Volume_Mfe_+_Pelotas7"/>
      <sheetName val="Cost_Leadership_Capex_Inv_6"/>
      <sheetName val="Cost_Leadership_Capex_Div_6"/>
      <sheetName val="Cost_Sheet6"/>
      <sheetName val="chiet_tinh6"/>
      <sheetName val="Conv__Debt6"/>
      <sheetName val="Conv__Pref_6"/>
      <sheetName val="Shares_Outstanding6"/>
      <sheetName val="Firm_Value6"/>
      <sheetName val="Data_Input6"/>
      <sheetName val="SCF_-_BS6"/>
      <sheetName val="BASE_DE_DADOS6"/>
      <sheetName val="Bajada_Cognos6"/>
      <sheetName val="escen99_(2)6"/>
      <sheetName val="Business_Description_BLOCK6"/>
      <sheetName val="1__Descripción_del_Negocio6"/>
      <sheetName val="2__M_Criticidad_Prod_o_Proces6"/>
      <sheetName val="3__Mapa_de_Proceso6"/>
      <sheetName val="4__M_Criticidad_Procesos6"/>
      <sheetName val="Process_Mapping_BLOCK6"/>
      <sheetName val="5__Tarea_1_Produccion_Despa6"/>
      <sheetName val="5__Tarea_2___cambio_de_formIBV6"/>
      <sheetName val="5__Tarea_3__Producción_IBV6"/>
      <sheetName val="5__Tarea_4_Cambio_format_llena6"/>
      <sheetName val="5__Tarea_5__Arranque_Llenadora6"/>
      <sheetName val="5__Tarea_6__Cambio_formato_eti6"/>
      <sheetName val="5__Tarea_7__Produccion_1etique6"/>
      <sheetName val="5__Tarea_8_Producc_2_etiquet6"/>
      <sheetName val="5__Tarea_9_Producc__IBLL6"/>
      <sheetName val="5__Tarea_10_Produccion_Pale6"/>
      <sheetName val="1_1_Acuerdo_de_Nivel_de_Servic6"/>
      <sheetName val="Planificador_Liga6"/>
      <sheetName val="Base_Única_Final_-_Preencher6"/>
      <sheetName val="Instruções_Preenchimento6"/>
      <sheetName val="Base_para_criticar6"/>
      <sheetName val="_Curve_Comp??_x00006"/>
      <sheetName val="General_Downloads6"/>
      <sheetName val="TABELA_DE_PREÇOS5"/>
      <sheetName val="Resumen_General5"/>
      <sheetName val="CRITICIDAD_DE_CI5"/>
      <sheetName val="Cátalogo_de_CI5"/>
      <sheetName val="PLAN_DE_ACCION_Mayo5"/>
      <sheetName val="Catálogo_de_CI5"/>
      <sheetName val="Controls_data5"/>
      <sheetName val="12월_판매(권역)5"/>
      <sheetName val="7월예산(지점)_(2)5"/>
      <sheetName val="kpi(7월_Activity)5"/>
      <sheetName val="_7월LE_및_재고5"/>
      <sheetName val="_8월재고5"/>
      <sheetName val="_8월재고_(2)5"/>
      <sheetName val="Operation_Target(중앙)5"/>
      <sheetName val="Bud_여행Program5"/>
      <sheetName val="월마감_예상5"/>
      <sheetName val="HE_JBP5"/>
      <sheetName val="HE생_확산계획5"/>
      <sheetName val="대신_대은5"/>
      <sheetName val="AR_Issue5"/>
      <sheetName val="risk_MS5"/>
      <sheetName val="risk_Vol5"/>
      <sheetName val="_Curve_Comp___x00004"/>
      <sheetName val="_Curve_Comp_x005f_x005f_x5"/>
      <sheetName val="유류대_현황4"/>
      <sheetName val="IS_BS_actual3"/>
      <sheetName val="Agosto_(2)3"/>
      <sheetName val="Hl_Acum3"/>
      <sheetName val="김형선_4"/>
      <sheetName val="차량운행일지_요일테이블_업뎃_완료4"/>
      <sheetName val="[Curve_Comp_x005f_x005f_x4"/>
      <sheetName val="FJJX_Bud_IB1"/>
      <sheetName val="TM1_SETTINGS"/>
      <sheetName val="Estructura_SAP1"/>
      <sheetName val="Factor_8_Oz1"/>
      <sheetName val="control_sheet1"/>
      <sheetName val="Input_sheet1"/>
      <sheetName val="Target_Book"/>
      <sheetName val="Integração_-_Earned_Value"/>
      <sheetName val="VICTEL_($R)"/>
      <sheetName val="BC_-_Main_model"/>
      <sheetName val="BEAT_"/>
      <sheetName val="CIEL_PURIFICADA_"/>
      <sheetName val="DISNEY_"/>
      <sheetName val="FANTA_"/>
      <sheetName val="FRESCA_"/>
      <sheetName val="COCA-COLA_EXPORT"/>
      <sheetName val="COCA-COLA_LIGHT_"/>
      <sheetName val="LIFT_"/>
      <sheetName val="NESTEA_"/>
      <sheetName val="POWERADE_"/>
      <sheetName val="SENZAO_"/>
      <sheetName val="_Curve_Comp_x4"/>
      <sheetName val="[Curve_Comp_x3"/>
      <sheetName val="_Curve_Comp_x005f4"/>
      <sheetName val="[Curve_Comp_x005f4"/>
      <sheetName val="_Curve_Comp_x005f5"/>
      <sheetName val="[Curve_Comp_x005f5"/>
      <sheetName val="_Curve_Comp_x005f6"/>
      <sheetName val="[Curve_Comp_x005f6"/>
      <sheetName val="[Curve_Comp_x0007"/>
      <sheetName val="_Curve_Comp_x0007"/>
      <sheetName val="[Curve_Comp_x0008"/>
      <sheetName val="_Curve_Comp_x0008"/>
      <sheetName val="_Curve_Comp_6"/>
      <sheetName val="[Curve_Comp_4"/>
      <sheetName val="[Curve_Comp_x0009"/>
      <sheetName val="_Curve_Comp_x0009"/>
      <sheetName val="_Curve_Comp_7"/>
      <sheetName val="[Curve_Comp_5"/>
      <sheetName val="[Curve_Comp_x0010"/>
      <sheetName val="_Curve_Comp_x0010"/>
      <sheetName val="_Curve_Comp_8"/>
      <sheetName val="[Curve_Comp_6"/>
      <sheetName val="Balances_al_30_06_2019"/>
      <sheetName val="BF Database"/>
      <sheetName val="BF PL31"/>
      <sheetName val="Administrative Information"/>
      <sheetName val="Appendix 6"/>
      <sheetName val="Anexo B"/>
      <sheetName val="PARTE"/>
      <sheetName val="Formula"/>
      <sheetName val="Gerencial"/>
      <sheetName val="Participantes"/>
      <sheetName val="Brix Xarope BC"/>
      <sheetName val="Conversão"/>
      <sheetName val=".Consid"/>
      <sheetName val=".Relatório"/>
      <sheetName val=".Resumo"/>
      <sheetName val="VM"/>
      <sheetName val="Yield_Curve18"/>
      <sheetName val="Yield_Curve_(2)18"/>
      <sheetName val="Brazil_Sovereign18"/>
      <sheetName val="Brazil_Swap18"/>
      <sheetName val="Price_(2)18"/>
      <sheetName val="Dados_Cash18"/>
      <sheetName val="PackAppear__(2)17"/>
      <sheetName val="Resu_Capex17"/>
      <sheetName val="Efic_Consumo17"/>
      <sheetName val="OOO_(2)17"/>
      <sheetName val="PackAppear_17"/>
      <sheetName val="PQCM_(2)17"/>
      <sheetName val="PQRM_(2)17"/>
      <sheetName val="Res_Executivo17"/>
      <sheetName val="Calc_117"/>
      <sheetName val="2001_10_Cerv17"/>
      <sheetName val="PLAN_SAC_Cerveja17"/>
      <sheetName val="PLAN_SAC_RefrigeNanc17"/>
      <sheetName val="2001_04_Cerv17"/>
      <sheetName val="Farol_SAC_Cerveja17"/>
      <sheetName val="2001_04_Nanc17"/>
      <sheetName val="Farol_SAC_Refrigenanc17"/>
      <sheetName val="Sig_Cycles_Accts_&amp;_Processes17"/>
      <sheetName val="WF_China_YTD15"/>
      <sheetName val="Curve_Comparisons15"/>
      <sheetName val="Riscos-Oport_15"/>
      <sheetName val="_Curve_Comp14"/>
      <sheetName val="Relatório_SDG14"/>
      <sheetName val="EI_Calc14"/>
      <sheetName val="기간별_판매진척15"/>
      <sheetName val="요일_테이블15"/>
      <sheetName val="LBO_Model14"/>
      <sheetName val="[Curve_Comp????????????Brazil14"/>
      <sheetName val="Balance_Fin_ajust_200414"/>
      <sheetName val="DATOS_PARA_INTERPOLACION14"/>
      <sheetName val="DPN_VALUE14"/>
      <sheetName val="Tabla_de_amortización14"/>
      <sheetName val="Coleta_dados13"/>
      <sheetName val="IV_Confiabilidade13"/>
      <sheetName val="IV_Indisponibilidade13"/>
      <sheetName val="Check_R__Diária13"/>
      <sheetName val="Histórico_Check_R__Diária13"/>
      <sheetName val="Fechamento_Mês13"/>
      <sheetName val="Fechamento_Diário13"/>
      <sheetName val="High_Light13"/>
      <sheetName val="%_Dispersão13"/>
      <sheetName val="%_Reprovação13"/>
      <sheetName val="%_Caco_Limpo_Unid_13"/>
      <sheetName val="Limpeza_de_Flint13"/>
      <sheetName val="Recb__Coop_13"/>
      <sheetName val="Recb__Flint13"/>
      <sheetName val="Apoio_Material13"/>
      <sheetName val="Apoio_transp_13"/>
      <sheetName val="[Curve_Comp_x005f_x0000__x005f_x0000__x0013"/>
      <sheetName val="_Curve_Comp_x005f_x0000__x005f_x0000__x0013"/>
      <sheetName val="5_113"/>
      <sheetName val="_Curve_Comp____________Brazil13"/>
      <sheetName val="Comparativo_99X0013"/>
      <sheetName val="Tabela_de_Parâmetros13"/>
      <sheetName val="Versao_1b_($=R$2,13)13"/>
      <sheetName val="[Curve_Comp13"/>
      <sheetName val="2_주요계수총괄13"/>
      <sheetName val="Pg_113"/>
      <sheetName val="Vol-Mix_x_Seg_AN13"/>
      <sheetName val="INVESTMENTS_EUR13"/>
      <sheetName val="DIVESTMENTS_EUR13"/>
      <sheetName val="Price_DB13"/>
      <sheetName val="_Curve_Comp_x005f_x005f_x005f_x0000__x00513"/>
      <sheetName val="[Curve_Comp_x005f_x005f_x005f_x0000__x00513"/>
      <sheetName val="Données_LMU13"/>
      <sheetName val="Total_CDD13"/>
      <sheetName val="total_list13"/>
      <sheetName val="Curve%20Comparisons_xls12"/>
      <sheetName val="LISTA_SUSPENSA12"/>
      <sheetName val="Directrices_de_Metas_201712"/>
      <sheetName val="Base_de_datos11"/>
      <sheetName val="TOP_KPIs_MTM11"/>
      <sheetName val="_Curve_Comp_x005f_x0000__11"/>
      <sheetName val="Data_Validation10"/>
      <sheetName val="PLAN_DE_ACCION10"/>
      <sheetName val="drop_down_menu10"/>
      <sheetName val="Graf_Planeadores10"/>
      <sheetName val="DROP_10"/>
      <sheetName val="Plan_de_Acción10"/>
      <sheetName val="01_2_valor_da_up10"/>
      <sheetName val="LSS_pivot9"/>
      <sheetName val="Value_lists9"/>
      <sheetName val="Share_Price_20029"/>
      <sheetName val="2RF98_(Mkt_9%)9"/>
      <sheetName val="Tela_Inicial9"/>
      <sheetName val="Cálculo_TMEF-TMR9"/>
      <sheetName val="TMEF_-_TMR_1319"/>
      <sheetName val="TMEF_-_TMR_1519"/>
      <sheetName val="Data_Input_Sheet9"/>
      <sheetName val="Load_Data9"/>
      <sheetName val="No_Tocar8"/>
      <sheetName val="INGRESO_(2)8"/>
      <sheetName val="[Curve_Comp_x005f_x0000__9"/>
      <sheetName val="LEGAL_GUJ8"/>
      <sheetName val="_Curve_Comp_x005f_x005f_x005f_x005f_x005f_x005f_8"/>
      <sheetName val="[Curve_Comp_x005f_x005f_x005f_x005f_x005f_x005f_8"/>
      <sheetName val="RG_Depots8"/>
      <sheetName val="dep_pre9"/>
      <sheetName val="Cover_page8"/>
      <sheetName val="Estrutura_Organizacional8"/>
      <sheetName val="1_DN_Coordenação8"/>
      <sheetName val="1_1_Matriz_Criticidade_Coord8"/>
      <sheetName val="2_DN_Gerência8"/>
      <sheetName val="2_1_Matriz_criticidade_Ger__8"/>
      <sheetName val="1__NASA8"/>
      <sheetName val="2_1_Matriz_criticidade_MP8"/>
      <sheetName val="Check_List-_Gerrot8"/>
      <sheetName val="estagios_e_blocos8"/>
      <sheetName val="Variaveis_Gerais8"/>
      <sheetName val="Disp_20048"/>
      <sheetName val="GEPEG_-_Volume_Mfe_+_Pelotas8"/>
      <sheetName val="Cost_Leadership_Capex_Inv_7"/>
      <sheetName val="Cost_Leadership_Capex_Div_7"/>
      <sheetName val="Cost_Sheet7"/>
      <sheetName val="chiet_tinh7"/>
      <sheetName val="Business_Description_BLOCK7"/>
      <sheetName val="1__Descripción_del_Negocio7"/>
      <sheetName val="2__M_Criticidad_Prod_o_Proces7"/>
      <sheetName val="3__Mapa_de_Proceso7"/>
      <sheetName val="4__M_Criticidad_Procesos7"/>
      <sheetName val="Process_Mapping_BLOCK7"/>
      <sheetName val="5__Tarea_1_Produccion_Despa7"/>
      <sheetName val="5__Tarea_2___cambio_de_formIBV7"/>
      <sheetName val="5__Tarea_3__Producción_IBV7"/>
      <sheetName val="5__Tarea_4_Cambio_format_llena7"/>
      <sheetName val="5__Tarea_5__Arranque_Llenadora7"/>
      <sheetName val="5__Tarea_6__Cambio_formato_eti7"/>
      <sheetName val="5__Tarea_7__Produccion_1etique7"/>
      <sheetName val="5__Tarea_8_Producc_2_etiquet7"/>
      <sheetName val="5__Tarea_9_Producc__IBLL7"/>
      <sheetName val="5__Tarea_10_Produccion_Pale7"/>
      <sheetName val="1_1_Acuerdo_de_Nivel_de_Servic7"/>
      <sheetName val="BASE_DE_DADOS7"/>
      <sheetName val="Bajada_Cognos7"/>
      <sheetName val="Resumen_General6"/>
      <sheetName val="CRITICIDAD_DE_CI6"/>
      <sheetName val="Cátalogo_de_CI6"/>
      <sheetName val="PLAN_DE_ACCION_Mayo6"/>
      <sheetName val="Catálogo_de_CI6"/>
      <sheetName val="Conv__Debt7"/>
      <sheetName val="Conv__Pref_7"/>
      <sheetName val="Shares_Outstanding7"/>
      <sheetName val="Firm_Value7"/>
      <sheetName val="Data_Input7"/>
      <sheetName val="SCF_-_BS7"/>
      <sheetName val="escen99_(2)7"/>
      <sheetName val="Planificador_Liga7"/>
      <sheetName val="Base_Única_Final_-_Preencher7"/>
      <sheetName val="Instruções_Preenchimento7"/>
      <sheetName val="Base_para_criticar7"/>
      <sheetName val="_Curve_Comp??_x00007"/>
      <sheetName val="General_Downloads7"/>
      <sheetName val="TABELA_DE_PREÇOS6"/>
      <sheetName val="Controls_data6"/>
      <sheetName val="12월_판매(권역)6"/>
      <sheetName val="7월예산(지점)_(2)6"/>
      <sheetName val="kpi(7월_Activity)6"/>
      <sheetName val="_7월LE_및_재고6"/>
      <sheetName val="_8월재고6"/>
      <sheetName val="_8월재고_(2)6"/>
      <sheetName val="Operation_Target(중앙)6"/>
      <sheetName val="Bud_여행Program6"/>
      <sheetName val="월마감_예상6"/>
      <sheetName val="HE_JBP6"/>
      <sheetName val="HE생_확산계획6"/>
      <sheetName val="대신_대은6"/>
      <sheetName val="AR_Issue6"/>
      <sheetName val="risk_MS6"/>
      <sheetName val="risk_Vol6"/>
      <sheetName val="_Curve_Comp___x00005"/>
      <sheetName val="_Curve_Comp_x005f_x005f_x6"/>
      <sheetName val="유류대_현황5"/>
      <sheetName val="IS_BS_actual4"/>
      <sheetName val="Agosto_(2)4"/>
      <sheetName val="Hl_Acum4"/>
      <sheetName val="김형선_5"/>
      <sheetName val="차량운행일지_요일테이블_업뎃_완료5"/>
      <sheetName val="[Curve_Comp_x005f_x005f_x5"/>
      <sheetName val="FJJX_Bud_IB2"/>
      <sheetName val="TM1_SETTINGS1"/>
      <sheetName val="Estructura_SAP2"/>
      <sheetName val="Factor_8_Oz2"/>
      <sheetName val="control_sheet2"/>
      <sheetName val="Input_sheet2"/>
      <sheetName val="BBTS_USADOS"/>
      <sheetName val="ANALISE_DO_LOSS"/>
      <sheetName val="Integração_-_Earned_Value1"/>
      <sheetName val="VICTEL_($R)1"/>
      <sheetName val="BC_-_Main_model1"/>
      <sheetName val="9.1"/>
      <sheetName val="List"/>
      <sheetName val="Sheet133"/>
      <sheetName val="填写规则"/>
      <sheetName val="Setting"/>
      <sheetName val="drop down list"/>
      <sheetName val="Financ. Overview"/>
      <sheetName val="SP"/>
      <sheetName val="Remarks"/>
      <sheetName val="Yield_Curve19"/>
      <sheetName val="Yield_Curve_(2)19"/>
      <sheetName val="Brazil_Sovereign19"/>
      <sheetName val="Brazil_Swap19"/>
      <sheetName val="Price_(2)19"/>
      <sheetName val="Dados_Cash19"/>
      <sheetName val="PackAppear__(2)18"/>
      <sheetName val="Resu_Capex18"/>
      <sheetName val="Efic_Consumo18"/>
      <sheetName val="OOO_(2)18"/>
      <sheetName val="PackAppear_18"/>
      <sheetName val="PQCM_(2)18"/>
      <sheetName val="PQRM_(2)18"/>
      <sheetName val="Res_Executivo18"/>
      <sheetName val="2001_10_Cerv18"/>
      <sheetName val="PLAN_SAC_Cerveja18"/>
      <sheetName val="PLAN_SAC_RefrigeNanc18"/>
      <sheetName val="2001_04_Cerv18"/>
      <sheetName val="Farol_SAC_Cerveja18"/>
      <sheetName val="2001_04_Nanc18"/>
      <sheetName val="Farol_SAC_Refrigenanc18"/>
      <sheetName val="Sig_Cycles_Accts_&amp;_Processes18"/>
      <sheetName val="Calc_118"/>
      <sheetName val="WF_China_YTD16"/>
      <sheetName val="Curve_Comparisons16"/>
      <sheetName val="Riscos-Oport_16"/>
      <sheetName val="_Curve_Comp15"/>
      <sheetName val="Relatório_SDG15"/>
      <sheetName val="EI_Calc15"/>
      <sheetName val="기간별_판매진척16"/>
      <sheetName val="요일_테이블16"/>
      <sheetName val="LBO_Model15"/>
      <sheetName val="[Curve_Comp????????????Brazil15"/>
      <sheetName val="Balance_Fin_ajust_200415"/>
      <sheetName val="DATOS_PARA_INTERPOLACION15"/>
      <sheetName val="DPN_VALUE15"/>
      <sheetName val="Tabla_de_amortización15"/>
      <sheetName val="Coleta_dados14"/>
      <sheetName val="IV_Confiabilidade14"/>
      <sheetName val="IV_Indisponibilidade14"/>
      <sheetName val="Check_R__Diária14"/>
      <sheetName val="Histórico_Check_R__Diária14"/>
      <sheetName val="[Curve_Comp_x005f_x0000__x005f_x0000__x0014"/>
      <sheetName val="_Curve_Comp_x005f_x0000__x005f_x0000__x0014"/>
      <sheetName val="_Curve_Comp____________Brazil14"/>
      <sheetName val="Comparativo_99X0014"/>
      <sheetName val="Tabela_de_Parâmetros14"/>
      <sheetName val="Versao_1b_($=R$2,13)14"/>
      <sheetName val="[Curve_Comp14"/>
      <sheetName val="2_주요계수총괄14"/>
      <sheetName val="Fechamento_Mês14"/>
      <sheetName val="Fechamento_Diário14"/>
      <sheetName val="High_Light14"/>
      <sheetName val="%_Dispersão14"/>
      <sheetName val="%_Reprovação14"/>
      <sheetName val="%_Caco_Limpo_Unid_14"/>
      <sheetName val="Limpeza_de_Flint14"/>
      <sheetName val="Recb__Coop_14"/>
      <sheetName val="Recb__Flint14"/>
      <sheetName val="Apoio_Material14"/>
      <sheetName val="Apoio_transp_14"/>
      <sheetName val="Pg_114"/>
      <sheetName val="Vol-Mix_x_Seg_AN14"/>
      <sheetName val="5_114"/>
      <sheetName val="INVESTMENTS_EUR14"/>
      <sheetName val="DIVESTMENTS_EUR14"/>
      <sheetName val="Price_DB14"/>
      <sheetName val="_Curve_Comp_x005f_x005f_x005f_x0000__x00514"/>
      <sheetName val="[Curve_Comp_x005f_x005f_x005f_x0000__x00514"/>
      <sheetName val="Données_LMU14"/>
      <sheetName val="Total_CDD14"/>
      <sheetName val="total_list14"/>
      <sheetName val="Curve%20Comparisons_xls13"/>
      <sheetName val="LISTA_SUSPENSA13"/>
      <sheetName val="Directrices_de_Metas_201713"/>
      <sheetName val="Base_de_datos12"/>
      <sheetName val="TOP_KPIs_MTM12"/>
      <sheetName val="_Curve_Comp_x005f_x0000__12"/>
      <sheetName val="Data_Validation11"/>
      <sheetName val="PLAN_DE_ACCION11"/>
      <sheetName val="drop_down_menu11"/>
      <sheetName val="Graf_Planeadores11"/>
      <sheetName val="DROP_11"/>
      <sheetName val="Plan_de_Acción11"/>
      <sheetName val="01_2_valor_da_up11"/>
      <sheetName val="LSS_pivot10"/>
      <sheetName val="Value_lists10"/>
      <sheetName val="2RF98_(Mkt_9%)10"/>
      <sheetName val="Tela_Inicial10"/>
      <sheetName val="Cálculo_TMEF-TMR10"/>
      <sheetName val="TMEF_-_TMR_13110"/>
      <sheetName val="TMEF_-_TMR_15110"/>
      <sheetName val="Share_Price_200210"/>
      <sheetName val="Load_Data10"/>
      <sheetName val="Data_Input_Sheet10"/>
      <sheetName val="[Curve_Comp_x005f_x0000__10"/>
      <sheetName val="No_Tocar9"/>
      <sheetName val="INGRESO_(2)9"/>
      <sheetName val="LEGAL_GUJ9"/>
      <sheetName val="_Curve_Comp_x005f_x005f_x005f_x005f_x005f_x005f_9"/>
      <sheetName val="[Curve_Comp_x005f_x005f_x005f_x005f_x005f_x005f_9"/>
      <sheetName val="RG_Depots9"/>
      <sheetName val="dep_pre10"/>
      <sheetName val="Cover_page9"/>
      <sheetName val="Estrutura_Organizacional9"/>
      <sheetName val="1_DN_Coordenação9"/>
      <sheetName val="1_1_Matriz_Criticidade_Coord9"/>
      <sheetName val="2_DN_Gerência9"/>
      <sheetName val="2_1_Matriz_criticidade_Ger__9"/>
      <sheetName val="1__NASA9"/>
      <sheetName val="2_1_Matriz_criticidade_MP9"/>
      <sheetName val="Check_List-_Gerrot9"/>
      <sheetName val="estagios_e_blocos9"/>
      <sheetName val="Variaveis_Gerais9"/>
      <sheetName val="Disp_20049"/>
      <sheetName val="GEPEG_-_Volume_Mfe_+_Pelotas9"/>
      <sheetName val="Cost_Leadership_Capex_Inv_8"/>
      <sheetName val="Cost_Leadership_Capex_Div_8"/>
      <sheetName val="Cost_Sheet8"/>
      <sheetName val="chiet_tinh8"/>
      <sheetName val="Business_Description_BLOCK8"/>
      <sheetName val="1__Descripción_del_Negocio8"/>
      <sheetName val="2__M_Criticidad_Prod_o_Proces8"/>
      <sheetName val="3__Mapa_de_Proceso8"/>
      <sheetName val="4__M_Criticidad_Procesos8"/>
      <sheetName val="Process_Mapping_BLOCK8"/>
      <sheetName val="5__Tarea_1_Produccion_Despa8"/>
      <sheetName val="5__Tarea_2___cambio_de_formIBV8"/>
      <sheetName val="5__Tarea_3__Producción_IBV8"/>
      <sheetName val="5__Tarea_4_Cambio_format_llena8"/>
      <sheetName val="5__Tarea_5__Arranque_Llenadora8"/>
      <sheetName val="5__Tarea_6__Cambio_formato_eti8"/>
      <sheetName val="5__Tarea_7__Produccion_1etique8"/>
      <sheetName val="5__Tarea_8_Producc_2_etiquet8"/>
      <sheetName val="5__Tarea_9_Producc__IBLL8"/>
      <sheetName val="5__Tarea_10_Produccion_Pale8"/>
      <sheetName val="1_1_Acuerdo_de_Nivel_de_Servic8"/>
      <sheetName val="Resumen_General7"/>
      <sheetName val="CRITICIDAD_DE_CI7"/>
      <sheetName val="Cátalogo_de_CI7"/>
      <sheetName val="PLAN_DE_ACCION_Mayo7"/>
      <sheetName val="Catálogo_de_CI7"/>
      <sheetName val="BASE_DE_DADOS8"/>
      <sheetName val="Bajada_Cognos8"/>
      <sheetName val="Conv__Debt8"/>
      <sheetName val="Conv__Pref_8"/>
      <sheetName val="Shares_Outstanding8"/>
      <sheetName val="Firm_Value8"/>
      <sheetName val="Data_Input8"/>
      <sheetName val="SCF_-_BS8"/>
      <sheetName val="escen99_(2)8"/>
      <sheetName val="Planificador_Liga8"/>
      <sheetName val="Base_Única_Final_-_Preencher8"/>
      <sheetName val="Instruções_Preenchimento8"/>
      <sheetName val="Base_para_criticar8"/>
      <sheetName val="_Curve_Comp??_x00008"/>
      <sheetName val="General_Downloads8"/>
      <sheetName val="TABELA_DE_PREÇOS7"/>
      <sheetName val="Controls_data7"/>
      <sheetName val="12월_판매(권역)7"/>
      <sheetName val="7월예산(지점)_(2)7"/>
      <sheetName val="kpi(7월_Activity)7"/>
      <sheetName val="_7월LE_및_재고7"/>
      <sheetName val="_8월재고7"/>
      <sheetName val="_8월재고_(2)7"/>
      <sheetName val="Operation_Target(중앙)7"/>
      <sheetName val="Bud_여행Program7"/>
      <sheetName val="월마감_예상7"/>
      <sheetName val="HE_JBP7"/>
      <sheetName val="HE생_확산계획7"/>
      <sheetName val="대신_대은7"/>
      <sheetName val="AR_Issue7"/>
      <sheetName val="risk_MS7"/>
      <sheetName val="risk_Vol7"/>
      <sheetName val="_Curve_Comp___x00006"/>
      <sheetName val="_Curve_Comp_x005f_x005f_x7"/>
      <sheetName val="유류대_현황6"/>
      <sheetName val="IS_BS_actual5"/>
      <sheetName val="Agosto_(2)5"/>
      <sheetName val="Hl_Acum5"/>
      <sheetName val="김형선_6"/>
      <sheetName val="차량운행일지_요일테이블_업뎃_완료6"/>
      <sheetName val="[Curve_Comp_x005f_x005f_x6"/>
      <sheetName val="FJJX_Bud_IB3"/>
      <sheetName val="TM1_SETTINGS2"/>
      <sheetName val="Estructura_SAP3"/>
      <sheetName val="Factor_8_Oz3"/>
      <sheetName val="control_sheet3"/>
      <sheetName val="Input_sheet3"/>
      <sheetName val="Target_Book1"/>
      <sheetName val="Integração_-_Earned_Value2"/>
      <sheetName val="VICTEL_($R)2"/>
      <sheetName val="BC_-_Main_model2"/>
      <sheetName val="BEAT_1"/>
      <sheetName val="CIEL_PURIFICADA_1"/>
      <sheetName val="DISNEY_1"/>
      <sheetName val="FANTA_1"/>
      <sheetName val="FRESCA_1"/>
      <sheetName val="COCA-COLA_EXPORT1"/>
      <sheetName val="COCA-COLA_LIGHT_1"/>
      <sheetName val="LIFT_1"/>
      <sheetName val="NESTEA_1"/>
      <sheetName val="POWERADE_1"/>
      <sheetName val="SENZAO_1"/>
      <sheetName val="BBTS_USADOS1"/>
      <sheetName val="ANALISE_DO_LOSS1"/>
      <sheetName val="_Curve_Comp_x5"/>
      <sheetName val="[Curve_Comp_x4"/>
      <sheetName val="Balances_al_30_06_20191"/>
      <sheetName val="POCM_배송지"/>
      <sheetName val="BF_Database"/>
      <sheetName val="BF_PL31"/>
      <sheetName val="Administrative_Information"/>
      <sheetName val="Appendix_6"/>
      <sheetName val="Anexo_B"/>
      <sheetName val="Brix_Xarope_BC"/>
      <sheetName val="_Consid"/>
      <sheetName val="_Relatório"/>
      <sheetName val="_Resumo"/>
      <sheetName val="BBTS_USADOS2"/>
      <sheetName val="ANALISE_DO_LOSS2"/>
      <sheetName val="Farol"/>
      <sheetName val="Turno Manhã "/>
      <sheetName val="Turno Tarde"/>
      <sheetName val="Turno Noite"/>
      <sheetName val="Form."/>
      <sheetName val="Class."/>
      <sheetName val="Veículos"/>
      <sheetName val="Colaboradores"/>
      <sheetName val="9_1"/>
      <sheetName val="Turno_Manhã_"/>
      <sheetName val="Turno_Tarde"/>
      <sheetName val="Turno_Noite"/>
      <sheetName val="Form_"/>
      <sheetName val="Class_"/>
      <sheetName val="Outubro 2018"/>
      <sheetName val="填写规范"/>
      <sheetName val="Yield_Curve20"/>
      <sheetName val="Yield_Curve_(2)20"/>
      <sheetName val="Brazil_Sovereign20"/>
      <sheetName val="Brazil_Swap20"/>
      <sheetName val="Price_(2)20"/>
      <sheetName val="Dados_Cash20"/>
      <sheetName val="PackAppear__(2)19"/>
      <sheetName val="Resu_Capex19"/>
      <sheetName val="Efic_Consumo19"/>
      <sheetName val="OOO_(2)19"/>
      <sheetName val="PackAppear_19"/>
      <sheetName val="PQCM_(2)19"/>
      <sheetName val="PQRM_(2)19"/>
      <sheetName val="Res_Executivo19"/>
      <sheetName val="2001_10_Cerv19"/>
      <sheetName val="PLAN_SAC_Cerveja19"/>
      <sheetName val="PLAN_SAC_RefrigeNanc19"/>
      <sheetName val="2001_04_Cerv19"/>
      <sheetName val="Farol_SAC_Cerveja19"/>
      <sheetName val="2001_04_Nanc19"/>
      <sheetName val="Farol_SAC_Refrigenanc19"/>
      <sheetName val="Sig_Cycles_Accts_&amp;_Processes19"/>
      <sheetName val="Calc_119"/>
      <sheetName val="WF_China_YTD17"/>
      <sheetName val="Curve_Comparisons17"/>
      <sheetName val="Riscos-Oport_17"/>
      <sheetName val="_Curve_Comp16"/>
      <sheetName val="Relatório_SDG16"/>
      <sheetName val="LBO_Model16"/>
      <sheetName val="기간별_판매진척17"/>
      <sheetName val="요일_테이블17"/>
      <sheetName val="EI_Calc16"/>
      <sheetName val="[Curve_Comp????????????Brazil16"/>
      <sheetName val="Balance_Fin_ajust_200416"/>
      <sheetName val="DATOS_PARA_INTERPOLACION16"/>
      <sheetName val="DPN_VALUE16"/>
      <sheetName val="Tabla_de_amortización16"/>
      <sheetName val="Coleta_dados15"/>
      <sheetName val="IV_Confiabilidade15"/>
      <sheetName val="IV_Indisponibilidade15"/>
      <sheetName val="Check_R__Diária15"/>
      <sheetName val="Histórico_Check_R__Diária15"/>
      <sheetName val="Fechamento_Mês15"/>
      <sheetName val="Fechamento_Diário15"/>
      <sheetName val="High_Light15"/>
      <sheetName val="%_Dispersão15"/>
      <sheetName val="%_Reprovação15"/>
      <sheetName val="%_Caco_Limpo_Unid_15"/>
      <sheetName val="Limpeza_de_Flint15"/>
      <sheetName val="Recb__Coop_15"/>
      <sheetName val="Recb__Flint15"/>
      <sheetName val="Apoio_Material15"/>
      <sheetName val="Apoio_transp_15"/>
      <sheetName val="[Curve_Comp_x005f_x0000__x005f_x0000__x0015"/>
      <sheetName val="_Curve_Comp_x005f_x0000__x005f_x0000__x0015"/>
      <sheetName val="_Curve_Comp____________Brazil15"/>
      <sheetName val="Comparativo_99X0015"/>
      <sheetName val="Tabela_de_Parâmetros15"/>
      <sheetName val="Versao_1b_($=R$2,13)15"/>
      <sheetName val="[Curve_Comp15"/>
      <sheetName val="2_주요계수총괄15"/>
      <sheetName val="Pg_115"/>
      <sheetName val="Vol-Mix_x_Seg_AN15"/>
      <sheetName val="5_115"/>
      <sheetName val="INVESTMENTS_EUR15"/>
      <sheetName val="DIVESTMENTS_EUR15"/>
      <sheetName val="Price_DB15"/>
      <sheetName val="_Curve_Comp_x005f_x005f_x005f_x0000__x00515"/>
      <sheetName val="[Curve_Comp_x005f_x005f_x005f_x0000__x00515"/>
      <sheetName val="Données_LMU15"/>
      <sheetName val="total_list15"/>
      <sheetName val="Total_CDD15"/>
      <sheetName val="Curve%20Comparisons_xls14"/>
      <sheetName val="LISTA_SUSPENSA14"/>
      <sheetName val="Directrices_de_Metas_201714"/>
      <sheetName val="Base_de_datos13"/>
      <sheetName val="TOP_KPIs_MTM13"/>
      <sheetName val="_Curve_Comp_x005f_x0000__13"/>
      <sheetName val="Data_Validation12"/>
      <sheetName val="PLAN_DE_ACCION12"/>
      <sheetName val="drop_down_menu12"/>
      <sheetName val="Graf_Planeadores12"/>
      <sheetName val="DROP_12"/>
      <sheetName val="Plan_de_Acción12"/>
      <sheetName val="01_2_valor_da_up12"/>
      <sheetName val="LSS_pivot11"/>
      <sheetName val="Value_lists11"/>
      <sheetName val="Share_Price_200211"/>
      <sheetName val="Tela_Inicial11"/>
      <sheetName val="Cálculo_TMEF-TMR11"/>
      <sheetName val="TMEF_-_TMR_13111"/>
      <sheetName val="TMEF_-_TMR_15111"/>
      <sheetName val="2RF98_(Mkt_9%)11"/>
      <sheetName val="Load_Data11"/>
      <sheetName val="[Curve_Comp_x005f_x0000__11"/>
      <sheetName val="Data_Input_Sheet11"/>
      <sheetName val="LEGAL_GUJ10"/>
      <sheetName val="_Curve_Comp_x005f_x005f_x005f_x005f_x005f10"/>
      <sheetName val="[Curve_Comp_x005f_x005f_x005f_x005f_x005f10"/>
      <sheetName val="RG_Depots10"/>
      <sheetName val="dep_pre11"/>
      <sheetName val="No_Tocar10"/>
      <sheetName val="INGRESO_(2)10"/>
      <sheetName val="Cover_page10"/>
      <sheetName val="Estrutura_Organizacional10"/>
      <sheetName val="1_DN_Coordenação10"/>
      <sheetName val="1_1_Matriz_Criticidade_Coord10"/>
      <sheetName val="2_DN_Gerência10"/>
      <sheetName val="2_1_Matriz_criticidade_Ger__10"/>
      <sheetName val="1__NASA10"/>
      <sheetName val="2_1_Matriz_criticidade_MP10"/>
      <sheetName val="Check_List-_Gerrot10"/>
      <sheetName val="estagios_e_blocos10"/>
      <sheetName val="Variaveis_Gerais10"/>
      <sheetName val="Disp_200410"/>
      <sheetName val="GEPEG_-_Volume_Mfe_+_Pelotas10"/>
      <sheetName val="Cost_Sheet9"/>
      <sheetName val="Cost_Leadership_Capex_Inv_9"/>
      <sheetName val="Cost_Leadership_Capex_Div_9"/>
      <sheetName val="chiet_tinh9"/>
      <sheetName val="Conv__Debt9"/>
      <sheetName val="Conv__Pref_9"/>
      <sheetName val="Shares_Outstanding9"/>
      <sheetName val="Firm_Value9"/>
      <sheetName val="Data_Input9"/>
      <sheetName val="SCF_-_BS9"/>
      <sheetName val="BASE_DE_DADOS9"/>
      <sheetName val="Bajada_Cognos9"/>
      <sheetName val="escen99_(2)9"/>
      <sheetName val="Business_Description_BLOCK9"/>
      <sheetName val="1__Descripción_del_Negocio9"/>
      <sheetName val="2__M_Criticidad_Prod_o_Proces9"/>
      <sheetName val="3__Mapa_de_Proceso9"/>
      <sheetName val="4__M_Criticidad_Procesos9"/>
      <sheetName val="Process_Mapping_BLOCK9"/>
      <sheetName val="5__Tarea_1_Produccion_Despa9"/>
      <sheetName val="5__Tarea_2___cambio_de_formIBV9"/>
      <sheetName val="5__Tarea_3__Producción_IBV9"/>
      <sheetName val="5__Tarea_4_Cambio_format_llena9"/>
      <sheetName val="5__Tarea_5__Arranque_Llenadora9"/>
      <sheetName val="5__Tarea_6__Cambio_formato_eti9"/>
      <sheetName val="5__Tarea_7__Produccion_1etique9"/>
      <sheetName val="5__Tarea_8_Producc_2_etiquet9"/>
      <sheetName val="5__Tarea_9_Producc__IBLL9"/>
      <sheetName val="5__Tarea_10_Produccion_Pale9"/>
      <sheetName val="1_1_Acuerdo_de_Nivel_de_Servic9"/>
      <sheetName val="Planificador_Liga9"/>
      <sheetName val="Base_Única_Final_-_Preencher9"/>
      <sheetName val="Instruções_Preenchimento9"/>
      <sheetName val="Base_para_criticar9"/>
      <sheetName val="_Curve_Comp??_x00009"/>
      <sheetName val="General_Downloads9"/>
      <sheetName val="Resumen_General8"/>
      <sheetName val="CRITICIDAD_DE_CI8"/>
      <sheetName val="Cátalogo_de_CI8"/>
      <sheetName val="PLAN_DE_ACCION_Mayo8"/>
      <sheetName val="Catálogo_de_CI8"/>
      <sheetName val="TABELA_DE_PREÇOS8"/>
      <sheetName val="Controls_data8"/>
      <sheetName val="12월_판매(권역)8"/>
      <sheetName val="7월예산(지점)_(2)8"/>
      <sheetName val="kpi(7월_Activity)8"/>
      <sheetName val="_7월LE_및_재고8"/>
      <sheetName val="_8월재고8"/>
      <sheetName val="_8월재고_(2)8"/>
      <sheetName val="Operation_Target(중앙)8"/>
      <sheetName val="Bud_여행Program8"/>
      <sheetName val="월마감_예상8"/>
      <sheetName val="HE_JBP8"/>
      <sheetName val="HE생_확산계획8"/>
      <sheetName val="대신_대은8"/>
      <sheetName val="AR_Issue8"/>
      <sheetName val="risk_MS8"/>
      <sheetName val="risk_Vol8"/>
      <sheetName val="IS_BS_actual6"/>
      <sheetName val="Agosto_(2)6"/>
      <sheetName val="Hl_Acum6"/>
      <sheetName val="_Curve_Comp___x00007"/>
      <sheetName val="_Curve_Comp_x005f_x005f_x8"/>
      <sheetName val="유류대_현황7"/>
      <sheetName val="김형선_7"/>
      <sheetName val="차량운행일지_요일테이블_업뎃_완료7"/>
      <sheetName val="[Curve_Comp_x005f_x005f_x7"/>
      <sheetName val="FJJX_Bud_IB4"/>
      <sheetName val="TM1_SETTINGS3"/>
      <sheetName val="Target_Book2"/>
      <sheetName val="Estructura_SAP4"/>
      <sheetName val="Factor_8_Oz4"/>
      <sheetName val="control_sheet4"/>
      <sheetName val="Input_sheet4"/>
      <sheetName val="Integração_-_Earned_Value3"/>
      <sheetName val="VICTEL_($R)3"/>
      <sheetName val="BC_-_Main_model3"/>
      <sheetName val="BEAT_2"/>
      <sheetName val="CIEL_PURIFICADA_2"/>
      <sheetName val="DISNEY_2"/>
      <sheetName val="FANTA_2"/>
      <sheetName val="FRESCA_2"/>
      <sheetName val="COCA-COLA_EXPORT2"/>
      <sheetName val="COCA-COLA_LIGHT_2"/>
      <sheetName val="LIFT_2"/>
      <sheetName val="NESTEA_2"/>
      <sheetName val="POWERADE_2"/>
      <sheetName val="SENZAO_2"/>
      <sheetName val="_Curve_Comp_x6"/>
      <sheetName val="[Curve_Comp_x5"/>
      <sheetName val="Balances_al_30_06_20192"/>
      <sheetName val="POCM_배송지1"/>
      <sheetName val="_Curve_Comp_x005f7"/>
      <sheetName val="[Curve_Comp_x005f7"/>
      <sheetName val="_Curve_Comp_x005f8"/>
      <sheetName val="[Curve_Comp_x005f8"/>
      <sheetName val="_Curve_Comp_x005f9"/>
      <sheetName val="[Curve_Comp_x005f9"/>
      <sheetName val="_Curve_Comp_x00510"/>
      <sheetName val="[Curve_Comp_x00510"/>
      <sheetName val="BBTS_USADOS3"/>
      <sheetName val="ANALISE_DO_LOSS3"/>
      <sheetName val="BF_Database1"/>
      <sheetName val="BF_PL311"/>
      <sheetName val="Administrative_Information1"/>
      <sheetName val="Appendix_61"/>
      <sheetName val="Anexo_B1"/>
      <sheetName val="Brix_Xarope_BC1"/>
      <sheetName val="_Consid1"/>
      <sheetName val="_Relatório1"/>
      <sheetName val="_Resumo1"/>
      <sheetName val="9_11"/>
      <sheetName val="drop_down_list"/>
      <sheetName val="Financ__Overview"/>
      <sheetName val="Turno_Manhã_1"/>
      <sheetName val="Turno_Tarde1"/>
      <sheetName val="Turno_Noite1"/>
      <sheetName val="Form_1"/>
      <sheetName val="Class_1"/>
      <sheetName val="Outubro_2018"/>
      <sheetName val="GRAPH DATA"/>
      <sheetName val="Yield_Curve21"/>
      <sheetName val="Yield_Curve_(2)21"/>
      <sheetName val="Brazil_Sovereign21"/>
      <sheetName val="Brazil_Swap21"/>
      <sheetName val="Price_(2)21"/>
      <sheetName val="Dados_Cash21"/>
      <sheetName val="PackAppear__(2)20"/>
      <sheetName val="Resu_Capex20"/>
      <sheetName val="Efic_Consumo20"/>
      <sheetName val="OOO_(2)20"/>
      <sheetName val="PackAppear_20"/>
      <sheetName val="PQCM_(2)20"/>
      <sheetName val="PQRM_(2)20"/>
      <sheetName val="Res_Executivo20"/>
      <sheetName val="2001_10_Cerv20"/>
      <sheetName val="PLAN_SAC_Cerveja20"/>
      <sheetName val="PLAN_SAC_RefrigeNanc20"/>
      <sheetName val="2001_04_Cerv20"/>
      <sheetName val="Farol_SAC_Cerveja20"/>
      <sheetName val="2001_04_Nanc20"/>
      <sheetName val="Farol_SAC_Refrigenanc20"/>
      <sheetName val="Sig_Cycles_Accts_&amp;_Processes20"/>
      <sheetName val="Calc_120"/>
      <sheetName val="WF_China_YTD18"/>
      <sheetName val="Curve_Comparisons18"/>
      <sheetName val="Riscos-Oport_18"/>
      <sheetName val="_Curve_Comp17"/>
      <sheetName val="Relatório_SDG17"/>
      <sheetName val="기간별_판매진척18"/>
      <sheetName val="요일_테이블18"/>
      <sheetName val="EI_Calc17"/>
      <sheetName val="LBO_Model17"/>
      <sheetName val="[Curve_Comp????????????Brazil17"/>
      <sheetName val="Balance_Fin_ajust_200417"/>
      <sheetName val="DATOS_PARA_INTERPOLACION17"/>
      <sheetName val="DPN_VALUE17"/>
      <sheetName val="Tabla_de_amortización17"/>
      <sheetName val="Coleta_dados16"/>
      <sheetName val="IV_Confiabilidade16"/>
      <sheetName val="IV_Indisponibilidade16"/>
      <sheetName val="Check_R__Diária16"/>
      <sheetName val="Histórico_Check_R__Diária16"/>
      <sheetName val="[Curve_Comp_x005f_x0000__x005f_x0000__x0016"/>
      <sheetName val="_Curve_Comp_x005f_x0000__x005f_x0000__x0016"/>
      <sheetName val="_Curve_Comp____________Brazil16"/>
      <sheetName val="Vol-Mix_x_Seg_AN16"/>
      <sheetName val="[Curve_Comp16"/>
      <sheetName val="Comparativo_99X0016"/>
      <sheetName val="Tabela_de_Parâmetros16"/>
      <sheetName val="Versao_1b_($=R$2,13)16"/>
      <sheetName val="2_주요계수총괄16"/>
      <sheetName val="Pg_116"/>
      <sheetName val="Fechamento_Mês16"/>
      <sheetName val="Fechamento_Diário16"/>
      <sheetName val="High_Light16"/>
      <sheetName val="%_Dispersão16"/>
      <sheetName val="%_Reprovação16"/>
      <sheetName val="%_Caco_Limpo_Unid_16"/>
      <sheetName val="Limpeza_de_Flint16"/>
      <sheetName val="Recb__Coop_16"/>
      <sheetName val="Recb__Flint16"/>
      <sheetName val="Apoio_Material16"/>
      <sheetName val="Apoio_transp_16"/>
      <sheetName val="INVESTMENTS_EUR16"/>
      <sheetName val="DIVESTMENTS_EUR16"/>
      <sheetName val="5_116"/>
      <sheetName val="Price_DB16"/>
      <sheetName val="_Curve_Comp_x005f_x005f_x005f_x0000__x00516"/>
      <sheetName val="[Curve_Comp_x005f_x005f_x005f_x0000__x00516"/>
      <sheetName val="Données_LMU16"/>
      <sheetName val="total_list16"/>
      <sheetName val="Total_CDD16"/>
      <sheetName val="Curve%20Comparisons_xls15"/>
      <sheetName val="Directrices_de_Metas_201715"/>
      <sheetName val="LISTA_SUSPENSA15"/>
      <sheetName val="Base_de_datos14"/>
      <sheetName val="TOP_KPIs_MTM14"/>
      <sheetName val="_Curve_Comp_x005f_x0000__14"/>
      <sheetName val="Data_Validation13"/>
      <sheetName val="PLAN_DE_ACCION13"/>
      <sheetName val="drop_down_menu13"/>
      <sheetName val="Graf_Planeadores13"/>
      <sheetName val="DROP_13"/>
      <sheetName val="Plan_de_Acción13"/>
      <sheetName val="01_2_valor_da_up13"/>
      <sheetName val="LSS_pivot12"/>
      <sheetName val="Value_lists12"/>
      <sheetName val="Share_Price_200212"/>
      <sheetName val="Tela_Inicial12"/>
      <sheetName val="Cálculo_TMEF-TMR12"/>
      <sheetName val="TMEF_-_TMR_13112"/>
      <sheetName val="TMEF_-_TMR_15112"/>
      <sheetName val="2RF98_(Mkt_9%)12"/>
      <sheetName val="Load_Data12"/>
      <sheetName val="[Curve_Comp_x005f_x0000__12"/>
      <sheetName val="Data_Input_Sheet12"/>
      <sheetName val="LEGAL_GUJ11"/>
      <sheetName val="_Curve_Comp_x005f_x005f_x005f_x005f_x005f11"/>
      <sheetName val="[Curve_Comp_x005f_x005f_x005f_x005f_x005f11"/>
      <sheetName val="dep_pre12"/>
      <sheetName val="RG_Depots11"/>
      <sheetName val="INGRESO_(2)11"/>
      <sheetName val="No_Tocar11"/>
      <sheetName val="Cover_page11"/>
      <sheetName val="Estrutura_Organizacional11"/>
      <sheetName val="1_DN_Coordenação11"/>
      <sheetName val="1_1_Matriz_Criticidade_Coord11"/>
      <sheetName val="2_DN_Gerência11"/>
      <sheetName val="2_1_Matriz_criticidade_Ger__11"/>
      <sheetName val="1__NASA11"/>
      <sheetName val="2_1_Matriz_criticidade_MP11"/>
      <sheetName val="Check_List-_Gerrot11"/>
      <sheetName val="estagios_e_blocos11"/>
      <sheetName val="Variaveis_Gerais11"/>
      <sheetName val="Disp_200411"/>
      <sheetName val="GEPEG_-_Volume_Mfe_+_Pelotas11"/>
      <sheetName val="Cost_Leadership_Capex_Inv_10"/>
      <sheetName val="Cost_Leadership_Capex_Div_10"/>
      <sheetName val="Cost_Sheet10"/>
      <sheetName val="chiet_tinh10"/>
      <sheetName val="Conv__Debt10"/>
      <sheetName val="Conv__Pref_10"/>
      <sheetName val="Shares_Outstanding10"/>
      <sheetName val="Firm_Value10"/>
      <sheetName val="Data_Input10"/>
      <sheetName val="SCF_-_BS10"/>
      <sheetName val="Business_Description_BLOCK10"/>
      <sheetName val="1__Descripción_del_Negocio10"/>
      <sheetName val="2__M_Criticidad_Prod_o_Proces10"/>
      <sheetName val="3__Mapa_de_Proceso10"/>
      <sheetName val="4__M_Criticidad_Procesos10"/>
      <sheetName val="Process_Mapping_BLOCK10"/>
      <sheetName val="5__Tarea_1_Produccion_Despa10"/>
      <sheetName val="5__Tarea_2___cambio_de_formIB10"/>
      <sheetName val="5__Tarea_3__Producción_IBV10"/>
      <sheetName val="5__Tarea_4_Cambio_format_llen10"/>
      <sheetName val="5__Tarea_5__Arranque_Llenador10"/>
      <sheetName val="5__Tarea_6__Cambio_formato_et10"/>
      <sheetName val="5__Tarea_7__Produccion_1etiqu10"/>
      <sheetName val="5__Tarea_8_Producc_2_etiquet10"/>
      <sheetName val="5__Tarea_9_Producc__IBLL10"/>
      <sheetName val="5__Tarea_10_Produccion_Pale10"/>
      <sheetName val="1_1_Acuerdo_de_Nivel_de_Servi10"/>
      <sheetName val="BASE_DE_DADOS10"/>
      <sheetName val="Bajada_Cognos10"/>
      <sheetName val="escen99_(2)10"/>
      <sheetName val="Planificador_Liga10"/>
      <sheetName val="Base_Única_Final_-_Preencher10"/>
      <sheetName val="Instruções_Preenchimento10"/>
      <sheetName val="Base_para_criticar10"/>
      <sheetName val="_Curve_Comp??_x000010"/>
      <sheetName val="General_Downloads10"/>
      <sheetName val="Resumen_General9"/>
      <sheetName val="CRITICIDAD_DE_CI9"/>
      <sheetName val="Cátalogo_de_CI9"/>
      <sheetName val="PLAN_DE_ACCION_Mayo9"/>
      <sheetName val="Catálogo_de_CI9"/>
      <sheetName val="Controls_data9"/>
      <sheetName val="12월_판매(권역)9"/>
      <sheetName val="7월예산(지점)_(2)9"/>
      <sheetName val="kpi(7월_Activity)9"/>
      <sheetName val="_7월LE_및_재고9"/>
      <sheetName val="_8월재고9"/>
      <sheetName val="_8월재고_(2)9"/>
      <sheetName val="Operation_Target(중앙)9"/>
      <sheetName val="Bud_여행Program9"/>
      <sheetName val="월마감_예상9"/>
      <sheetName val="HE_JBP9"/>
      <sheetName val="HE생_확산계획9"/>
      <sheetName val="대신_대은9"/>
      <sheetName val="AR_Issue9"/>
      <sheetName val="risk_MS9"/>
      <sheetName val="risk_Vol9"/>
      <sheetName val="TABELA_DE_PREÇOS9"/>
      <sheetName val="IS_BS_actual7"/>
      <sheetName val="Agosto_(2)7"/>
      <sheetName val="Hl_Acum7"/>
      <sheetName val="_Curve_Comp___x00008"/>
      <sheetName val="_Curve_Comp_x005f_x005f_x9"/>
      <sheetName val="유류대_현황8"/>
      <sheetName val="김형선_8"/>
      <sheetName val="차량운행일지_요일테이블_업뎃_완료8"/>
      <sheetName val="[Curve_Comp_x005f_x005f_x8"/>
      <sheetName val="FJJX_Bud_IB5"/>
      <sheetName val="TM1_SETTINGS4"/>
      <sheetName val="Estructura_SAP5"/>
      <sheetName val="Factor_8_Oz5"/>
      <sheetName val="control_sheet5"/>
      <sheetName val="Input_sheet5"/>
      <sheetName val="Target_Book3"/>
      <sheetName val="Integração_-_Earned_Value4"/>
      <sheetName val="VICTEL_($R)4"/>
      <sheetName val="BC_-_Main_model4"/>
      <sheetName val="BEAT_3"/>
      <sheetName val="CIEL_PURIFICADA_3"/>
      <sheetName val="DISNEY_3"/>
      <sheetName val="FANTA_3"/>
      <sheetName val="FRESCA_3"/>
      <sheetName val="COCA-COLA_EXPORT3"/>
      <sheetName val="COCA-COLA_LIGHT_3"/>
      <sheetName val="LIFT_3"/>
      <sheetName val="NESTEA_3"/>
      <sheetName val="POWERADE_3"/>
      <sheetName val="SENZAO_3"/>
      <sheetName val="Balances_al_30_06_20193"/>
      <sheetName val="_Curve_Comp_x7"/>
      <sheetName val="[Curve_Comp_x6"/>
      <sheetName val="POCM_배송지2"/>
      <sheetName val="BBTS_USADOS4"/>
      <sheetName val="ANALISE_DO_LOSS4"/>
      <sheetName val="BF_Database2"/>
      <sheetName val="BF_PL312"/>
      <sheetName val="Administrative_Information2"/>
      <sheetName val="Appendix_62"/>
      <sheetName val="Anexo_B2"/>
      <sheetName val="Brix_Xarope_BC2"/>
      <sheetName val="_Consid2"/>
      <sheetName val="_Relatório2"/>
      <sheetName val="_Resumo2"/>
      <sheetName val="9_12"/>
      <sheetName val="drop_down_list1"/>
      <sheetName val="Financ__Overview1"/>
      <sheetName val="Turno_Manhã_2"/>
      <sheetName val="Turno_Tarde2"/>
      <sheetName val="Turno_Noite2"/>
      <sheetName val="Form_2"/>
      <sheetName val="Class_2"/>
      <sheetName val="Outubro_20181"/>
      <sheetName val="GRAPH_DATA"/>
      <sheetName val="Area"/>
      <sheetName val="M3"/>
      <sheetName val="MMR12L1"/>
      <sheetName val="MMR12子类(销量无关)"/>
      <sheetName val="售点"/>
      <sheetName val="成本中心"/>
      <sheetName val="品牌"/>
      <sheetName val="销售公司"/>
      <sheetName val="子品牌"/>
      <sheetName val="BDM 12+12"/>
      <sheetName val="BDM 2+10 "/>
      <sheetName val="Inbound transport costs"/>
      <sheetName val="crediti nuovi clienti"/>
      <sheetName val="Netta con mix"/>
      <sheetName val="Netta con mix e cauzioni"/>
      <sheetName val="KEg deposits"/>
      <sheetName val="Kegs and beer"/>
      <sheetName val="Vols, GSV"/>
      <sheetName val="originale"/>
      <sheetName val="BDM_12+12"/>
      <sheetName val="BDM_2+10_"/>
      <sheetName val="Inbound_transport_costs"/>
      <sheetName val="crediti_nuovi_clienti"/>
      <sheetName val="Netta_con_mix"/>
      <sheetName val="Netta_con_mix_e_cauzioni"/>
      <sheetName val="KEg_deposits"/>
      <sheetName val="Kegs_and_beer"/>
      <sheetName val="Vols,_GSV"/>
      <sheetName val="BDM_12+121"/>
      <sheetName val="BDM_2+10_1"/>
      <sheetName val="Inbound_transport_costs1"/>
      <sheetName val="crediti_nuovi_clienti1"/>
      <sheetName val="Netta_con_mix1"/>
      <sheetName val="Netta_con_mix_e_cauzioni1"/>
      <sheetName val="KEg_deposits1"/>
      <sheetName val="Kegs_and_beer1"/>
      <sheetName val="Vols,_GSV1"/>
      <sheetName val="BDM_12+122"/>
      <sheetName val="BDM_2+10_2"/>
      <sheetName val="Inbound_transport_costs2"/>
      <sheetName val="crediti_nuovi_clienti2"/>
      <sheetName val="Netta_con_mix2"/>
      <sheetName val="Netta_con_mix_e_cauzioni2"/>
      <sheetName val="KEg_deposits2"/>
      <sheetName val="Kegs_and_beer2"/>
      <sheetName val="Vols,_GSV2"/>
      <sheetName val="x new"/>
      <sheetName val="motive"/>
      <sheetName val="x"/>
      <sheetName val="BDM_12+123"/>
      <sheetName val="BDM_2+10_3"/>
      <sheetName val="Inbound_transport_costs3"/>
      <sheetName val="crediti_nuovi_clienti3"/>
      <sheetName val="Netta_con_mix3"/>
      <sheetName val="Netta_con_mix_e_cauzioni3"/>
      <sheetName val="KEg_deposits3"/>
      <sheetName val="Kegs_and_beer3"/>
      <sheetName val="Vols,_GSV3"/>
      <sheetName val="x_new"/>
      <sheetName val="BDM_12+124"/>
      <sheetName val="BDM_2+10_4"/>
      <sheetName val="Inbound_transport_costs4"/>
      <sheetName val="crediti_nuovi_clienti4"/>
      <sheetName val="Netta_con_mix4"/>
      <sheetName val="Netta_con_mix_e_cauzioni4"/>
      <sheetName val="KEg_deposits4"/>
      <sheetName val="Kegs_and_beer4"/>
      <sheetName val="Vols,_GSV4"/>
      <sheetName val="x_new1"/>
      <sheetName val="Chart data"/>
      <sheetName val="Ref"/>
      <sheetName val="Open"/>
      <sheetName val="AOP-JUNE FCST"/>
      <sheetName val="SALDO BAC"/>
      <sheetName val="Chart_data"/>
      <sheetName val="PPM"/>
      <sheetName val="Interdependent COUNTRY"/>
      <sheetName val="ConversionNames"/>
      <sheetName val="Interdependent CAT"/>
      <sheetName val="Other Listings"/>
      <sheetName val="Lookup Collab  model"/>
      <sheetName val="Yield_Curve22"/>
      <sheetName val="Yield_Curve_(2)22"/>
      <sheetName val="Brazil_Sovereign22"/>
      <sheetName val="Brazil_Swap22"/>
      <sheetName val="Price_(2)22"/>
      <sheetName val="Dados_Cash22"/>
      <sheetName val="PackAppear__(2)21"/>
      <sheetName val="Resu_Capex21"/>
      <sheetName val="Efic_Consumo21"/>
      <sheetName val="OOO_(2)21"/>
      <sheetName val="PackAppear_21"/>
      <sheetName val="PQCM_(2)21"/>
      <sheetName val="PQRM_(2)21"/>
      <sheetName val="Res_Executivo21"/>
      <sheetName val="2001_10_Cerv21"/>
      <sheetName val="PLAN_SAC_Cerveja21"/>
      <sheetName val="PLAN_SAC_RefrigeNanc21"/>
      <sheetName val="2001_04_Cerv21"/>
      <sheetName val="Farol_SAC_Cerveja21"/>
      <sheetName val="2001_04_Nanc21"/>
      <sheetName val="Farol_SAC_Refrigenanc21"/>
      <sheetName val="Sig_Cycles_Accts_&amp;_Processes21"/>
      <sheetName val="Calc_121"/>
      <sheetName val="WF_China_YTD19"/>
      <sheetName val="Curve_Comparisons19"/>
      <sheetName val="Riscos-Oport_19"/>
      <sheetName val="_Curve_Comp18"/>
      <sheetName val="Relatório_SDG18"/>
      <sheetName val="기간별_판매진척19"/>
      <sheetName val="요일_테이블19"/>
      <sheetName val="EI_Calc18"/>
      <sheetName val="LBO_Model18"/>
      <sheetName val="[Curve_Comp????????????Brazil18"/>
      <sheetName val="Balance_Fin_ajust_200418"/>
      <sheetName val="DATOS_PARA_INTERPOLACION18"/>
      <sheetName val="DPN_VALUE18"/>
      <sheetName val="Tabla_de_amortización18"/>
      <sheetName val="Coleta_dados17"/>
      <sheetName val="IV_Confiabilidade17"/>
      <sheetName val="IV_Indisponibilidade17"/>
      <sheetName val="Check_R__Diária17"/>
      <sheetName val="Histórico_Check_R__Diária17"/>
      <sheetName val="[Curve_Comp_x005f_x0000__x005f_x0000__x0017"/>
      <sheetName val="_Curve_Comp_x005f_x0000__x005f_x0000__x0017"/>
      <sheetName val="_Curve_Comp____________Brazil17"/>
      <sheetName val="Vol-Mix_x_Seg_AN17"/>
      <sheetName val="[Curve_Comp17"/>
      <sheetName val="Comparativo_99X0017"/>
      <sheetName val="Tabela_de_Parâmetros17"/>
      <sheetName val="Versao_1b_($=R$2,13)17"/>
      <sheetName val="2_주요계수총괄17"/>
      <sheetName val="Pg_117"/>
      <sheetName val="Fechamento_Mês17"/>
      <sheetName val="Fechamento_Diário17"/>
      <sheetName val="High_Light17"/>
      <sheetName val="%_Dispersão17"/>
      <sheetName val="%_Reprovação17"/>
      <sheetName val="%_Caco_Limpo_Unid_17"/>
      <sheetName val="Limpeza_de_Flint17"/>
      <sheetName val="Recb__Coop_17"/>
      <sheetName val="Recb__Flint17"/>
      <sheetName val="Apoio_Material17"/>
      <sheetName val="Apoio_transp_17"/>
      <sheetName val="INVESTMENTS_EUR17"/>
      <sheetName val="DIVESTMENTS_EUR17"/>
      <sheetName val="5_117"/>
      <sheetName val="Price_DB17"/>
      <sheetName val="_Curve_Comp_x005f_x005f_x005f_x0000__x00517"/>
      <sheetName val="[Curve_Comp_x005f_x005f_x005f_x0000__x00517"/>
      <sheetName val="Données_LMU17"/>
      <sheetName val="total_list17"/>
      <sheetName val="Total_CDD17"/>
      <sheetName val="Curve%20Comparisons_xls16"/>
      <sheetName val="Directrices_de_Metas_201716"/>
      <sheetName val="LISTA_SUSPENSA16"/>
      <sheetName val="Base_de_datos15"/>
      <sheetName val="TOP_KPIs_MTM15"/>
      <sheetName val="_Curve_Comp_x005f_x0000__15"/>
      <sheetName val="Data_Validation14"/>
      <sheetName val="PLAN_DE_ACCION14"/>
      <sheetName val="drop_down_menu14"/>
      <sheetName val="Graf_Planeadores14"/>
      <sheetName val="DROP_14"/>
      <sheetName val="Plan_de_Acción14"/>
      <sheetName val="01_2_valor_da_up14"/>
      <sheetName val="LSS_pivot13"/>
      <sheetName val="Value_lists13"/>
      <sheetName val="Share_Price_200213"/>
      <sheetName val="Tela_Inicial13"/>
      <sheetName val="Cálculo_TMEF-TMR13"/>
      <sheetName val="TMEF_-_TMR_13113"/>
      <sheetName val="TMEF_-_TMR_15113"/>
      <sheetName val="2RF98_(Mkt_9%)13"/>
      <sheetName val="Load_Data13"/>
      <sheetName val="[Curve_Comp_x005f_x0000__13"/>
      <sheetName val="Data_Input_Sheet13"/>
      <sheetName val="LEGAL_GUJ12"/>
      <sheetName val="_Curve_Comp_x005f_x005f_x005f_x005f_x005f12"/>
      <sheetName val="[Curve_Comp_x005f_x005f_x005f_x005f_x005f12"/>
      <sheetName val="dep_pre13"/>
      <sheetName val="RG_Depots12"/>
      <sheetName val="INGRESO_(2)12"/>
      <sheetName val="No_Tocar12"/>
      <sheetName val="Cover_page12"/>
      <sheetName val="Estrutura_Organizacional12"/>
      <sheetName val="1_DN_Coordenação12"/>
      <sheetName val="1_1_Matriz_Criticidade_Coord12"/>
      <sheetName val="2_DN_Gerência12"/>
      <sheetName val="2_1_Matriz_criticidade_Ger__12"/>
      <sheetName val="1__NASA12"/>
      <sheetName val="2_1_Matriz_criticidade_MP12"/>
      <sheetName val="Check_List-_Gerrot12"/>
      <sheetName val="estagios_e_blocos12"/>
      <sheetName val="Variaveis_Gerais12"/>
      <sheetName val="Disp_200412"/>
      <sheetName val="GEPEG_-_Volume_Mfe_+_Pelotas12"/>
      <sheetName val="Cost_Leadership_Capex_Inv_11"/>
      <sheetName val="Cost_Leadership_Capex_Div_11"/>
      <sheetName val="Cost_Sheet11"/>
      <sheetName val="chiet_tinh11"/>
      <sheetName val="Conv__Debt11"/>
      <sheetName val="Conv__Pref_11"/>
      <sheetName val="Shares_Outstanding11"/>
      <sheetName val="Firm_Value11"/>
      <sheetName val="Data_Input11"/>
      <sheetName val="SCF_-_BS11"/>
      <sheetName val="Business_Description_BLOCK11"/>
      <sheetName val="1__Descripción_del_Negocio11"/>
      <sheetName val="2__M_Criticidad_Prod_o_Proces11"/>
      <sheetName val="3__Mapa_de_Proceso11"/>
      <sheetName val="4__M_Criticidad_Procesos11"/>
      <sheetName val="Process_Mapping_BLOCK11"/>
      <sheetName val="5__Tarea_1_Produccion_Despa11"/>
      <sheetName val="5__Tarea_2___cambio_de_formIB11"/>
      <sheetName val="5__Tarea_3__Producción_IBV11"/>
      <sheetName val="5__Tarea_4_Cambio_format_llen11"/>
      <sheetName val="5__Tarea_5__Arranque_Llenador11"/>
      <sheetName val="5__Tarea_6__Cambio_formato_et11"/>
      <sheetName val="5__Tarea_7__Produccion_1etiqu11"/>
      <sheetName val="5__Tarea_8_Producc_2_etiquet11"/>
      <sheetName val="5__Tarea_9_Producc__IBLL11"/>
      <sheetName val="5__Tarea_10_Produccion_Pale11"/>
      <sheetName val="1_1_Acuerdo_de_Nivel_de_Servi11"/>
      <sheetName val="BASE_DE_DADOS11"/>
      <sheetName val="Bajada_Cognos11"/>
      <sheetName val="escen99_(2)11"/>
      <sheetName val="Planificador_Liga11"/>
      <sheetName val="Base_Única_Final_-_Preencher11"/>
      <sheetName val="Instruções_Preenchimento11"/>
      <sheetName val="Base_para_criticar11"/>
      <sheetName val="_Curve_Comp??_x000011"/>
      <sheetName val="General_Downloads11"/>
      <sheetName val="Resumen_General10"/>
      <sheetName val="CRITICIDAD_DE_CI10"/>
      <sheetName val="Cátalogo_de_CI10"/>
      <sheetName val="PLAN_DE_ACCION_Mayo10"/>
      <sheetName val="Catálogo_de_CI10"/>
      <sheetName val="Controls_data10"/>
      <sheetName val="12월_판매(권역)10"/>
      <sheetName val="7월예산(지점)_(2)10"/>
      <sheetName val="kpi(7월_Activity)10"/>
      <sheetName val="_7월LE_및_재고10"/>
      <sheetName val="_8월재고10"/>
      <sheetName val="_8월재고_(2)10"/>
      <sheetName val="Operation_Target(중앙)10"/>
      <sheetName val="Bud_여행Program10"/>
      <sheetName val="월마감_예상10"/>
      <sheetName val="HE_JBP10"/>
      <sheetName val="HE생_확산계획10"/>
      <sheetName val="대신_대은10"/>
      <sheetName val="AR_Issue10"/>
      <sheetName val="risk_MS10"/>
      <sheetName val="risk_Vol10"/>
      <sheetName val="TABELA_DE_PREÇOS10"/>
      <sheetName val="IS_BS_actual8"/>
      <sheetName val="Agosto_(2)8"/>
      <sheetName val="Hl_Acum8"/>
      <sheetName val="_Curve_Comp___x00009"/>
      <sheetName val="_Curve_Comp_x005f_x005f_x10"/>
      <sheetName val="유류대_현황9"/>
      <sheetName val="김형선_9"/>
      <sheetName val="차량운행일지_요일테이블_업뎃_완료9"/>
      <sheetName val="[Curve_Comp_x005f_x005f_x9"/>
      <sheetName val="FJJX_Bud_IB6"/>
      <sheetName val="TM1_SETTINGS5"/>
      <sheetName val="Estructura_SAP6"/>
      <sheetName val="Factor_8_Oz6"/>
      <sheetName val="control_sheet6"/>
      <sheetName val="Input_sheet6"/>
      <sheetName val="Target_Book4"/>
      <sheetName val="Integração_-_Earned_Value5"/>
      <sheetName val="VICTEL_($R)5"/>
      <sheetName val="BC_-_Main_model5"/>
      <sheetName val="BEAT_4"/>
      <sheetName val="CIEL_PURIFICADA_4"/>
      <sheetName val="DISNEY_4"/>
      <sheetName val="FANTA_4"/>
      <sheetName val="FRESCA_4"/>
      <sheetName val="COCA-COLA_EXPORT4"/>
      <sheetName val="COCA-COLA_LIGHT_4"/>
      <sheetName val="LIFT_4"/>
      <sheetName val="NESTEA_4"/>
      <sheetName val="POWERADE_4"/>
      <sheetName val="SENZAO_4"/>
      <sheetName val="Balances_al_30_06_20194"/>
      <sheetName val="_Curve_Comp_x8"/>
      <sheetName val="[Curve_Comp_x7"/>
      <sheetName val="POCM_배송지3"/>
      <sheetName val="BBTS_USADOS5"/>
      <sheetName val="ANALISE_DO_LOSS5"/>
      <sheetName val="BF_Database3"/>
      <sheetName val="BF_PL313"/>
      <sheetName val="Administrative_Information3"/>
      <sheetName val="Appendix_63"/>
      <sheetName val="Anexo_B3"/>
      <sheetName val="Brix_Xarope_BC3"/>
      <sheetName val="_Consid3"/>
      <sheetName val="_Relatório3"/>
      <sheetName val="_Resumo3"/>
      <sheetName val="9_13"/>
      <sheetName val="drop_down_list2"/>
      <sheetName val="Financ__Overview2"/>
      <sheetName val="Turno_Manhã_3"/>
      <sheetName val="Turno_Tarde3"/>
      <sheetName val="Turno_Noite3"/>
      <sheetName val="Form_3"/>
      <sheetName val="Class_3"/>
      <sheetName val="Outubro_20182"/>
      <sheetName val="GRAPH_DATA1"/>
      <sheetName val="BDM_12+125"/>
      <sheetName val="BDM_2+10_5"/>
      <sheetName val="Inbound_transport_costs5"/>
      <sheetName val="crediti_nuovi_clienti5"/>
      <sheetName val="Netta_con_mix5"/>
      <sheetName val="Netta_con_mix_e_cauzioni5"/>
      <sheetName val="KEg_deposits5"/>
      <sheetName val="Kegs_and_beer5"/>
      <sheetName val="Vols,_GSV5"/>
      <sheetName val="x_new2"/>
      <sheetName val="AOP-JUNE_FCST"/>
      <sheetName val="SALDO_BAC"/>
      <sheetName val="Yield_Curve23"/>
      <sheetName val="Yield_Curve_(2)23"/>
      <sheetName val="Brazil_Sovereign23"/>
      <sheetName val="Brazil_Swap23"/>
      <sheetName val="Price_(2)23"/>
      <sheetName val="Dados_Cash23"/>
      <sheetName val="PackAppear__(2)22"/>
      <sheetName val="Resu_Capex22"/>
      <sheetName val="Efic_Consumo22"/>
      <sheetName val="OOO_(2)22"/>
      <sheetName val="PackAppear_22"/>
      <sheetName val="PQCM_(2)22"/>
      <sheetName val="PQRM_(2)22"/>
      <sheetName val="Res_Executivo22"/>
      <sheetName val="Sig_Cycles_Accts_&amp;_Processes22"/>
      <sheetName val="2001_10_Cerv22"/>
      <sheetName val="PLAN_SAC_Cerveja22"/>
      <sheetName val="PLAN_SAC_RefrigeNanc22"/>
      <sheetName val="2001_04_Cerv22"/>
      <sheetName val="Farol_SAC_Cerveja22"/>
      <sheetName val="2001_04_Nanc22"/>
      <sheetName val="Farol_SAC_Refrigenanc22"/>
      <sheetName val="Calc_122"/>
      <sheetName val="WF_China_YTD20"/>
      <sheetName val="Curve_Comparisons20"/>
      <sheetName val="Riscos-Oport_20"/>
      <sheetName val="_Curve_Comp19"/>
      <sheetName val="Relatório_SDG19"/>
      <sheetName val="EI_Calc19"/>
      <sheetName val="기간별_판매진척20"/>
      <sheetName val="요일_테이블20"/>
      <sheetName val="LBO_Model19"/>
      <sheetName val="[Curve_Comp????????????Brazil19"/>
      <sheetName val="Balance_Fin_ajust_200419"/>
      <sheetName val="DATOS_PARA_INTERPOLACION19"/>
      <sheetName val="DPN_VALUE19"/>
      <sheetName val="Tabla_de_amortización19"/>
      <sheetName val="Coleta_dados18"/>
      <sheetName val="IV_Confiabilidade18"/>
      <sheetName val="IV_Indisponibilidade18"/>
      <sheetName val="Check_R__Diária18"/>
      <sheetName val="Histórico_Check_R__Diária18"/>
      <sheetName val="Fechamento_Mês18"/>
      <sheetName val="Fechamento_Diário18"/>
      <sheetName val="High_Light18"/>
      <sheetName val="%_Dispersão18"/>
      <sheetName val="%_Reprovação18"/>
      <sheetName val="%_Caco_Limpo_Unid_18"/>
      <sheetName val="Limpeza_de_Flint18"/>
      <sheetName val="Recb__Coop_18"/>
      <sheetName val="Recb__Flint18"/>
      <sheetName val="Apoio_Material18"/>
      <sheetName val="Apoio_transp_18"/>
      <sheetName val="[Curve_Comp_x005f_x0000__x005f_x0000__x0018"/>
      <sheetName val="_Curve_Comp_x005f_x0000__x005f_x0000__x0018"/>
      <sheetName val="_Curve_Comp____________Brazil18"/>
      <sheetName val="Comparativo_99X0018"/>
      <sheetName val="Tabela_de_Parâmetros18"/>
      <sheetName val="Versao_1b_($=R$2,13)18"/>
      <sheetName val="[Curve_Comp18"/>
      <sheetName val="2_주요계수총괄18"/>
      <sheetName val="Pg_118"/>
      <sheetName val="Vol-Mix_x_Seg_AN18"/>
      <sheetName val="5_118"/>
      <sheetName val="INVESTMENTS_EUR18"/>
      <sheetName val="DIVESTMENTS_EUR18"/>
      <sheetName val="Price_DB18"/>
      <sheetName val="_Curve_Comp_x005f_x005f_x005f_x0000__x00518"/>
      <sheetName val="[Curve_Comp_x005f_x005f_x005f_x0000__x00518"/>
      <sheetName val="Données_LMU18"/>
      <sheetName val="total_list18"/>
      <sheetName val="Total_CDD18"/>
      <sheetName val="Curve%20Comparisons_xls17"/>
      <sheetName val="Base_de_datos16"/>
      <sheetName val="TOP_KPIs_MTM16"/>
      <sheetName val="Directrices_de_Metas_201717"/>
      <sheetName val="LISTA_SUSPENSA17"/>
      <sheetName val="_Curve_Comp_x005f_x0000__16"/>
      <sheetName val="Data_Validation15"/>
      <sheetName val="PLAN_DE_ACCION15"/>
      <sheetName val="drop_down_menu15"/>
      <sheetName val="Graf_Planeadores15"/>
      <sheetName val="DROP_15"/>
      <sheetName val="Plan_de_Acción15"/>
      <sheetName val="01_2_valor_da_up15"/>
      <sheetName val="LSS_pivot14"/>
      <sheetName val="Value_lists14"/>
      <sheetName val="Share_Price_200214"/>
      <sheetName val="2RF98_(Mkt_9%)14"/>
      <sheetName val="Tela_Inicial14"/>
      <sheetName val="Cálculo_TMEF-TMR14"/>
      <sheetName val="TMEF_-_TMR_13114"/>
      <sheetName val="TMEF_-_TMR_15114"/>
      <sheetName val="Data_Input_Sheet14"/>
      <sheetName val="Load_Data14"/>
      <sheetName val="No_Tocar13"/>
      <sheetName val="INGRESO_(2)13"/>
      <sheetName val="[Curve_Comp_x005f_x0000__14"/>
      <sheetName val="LEGAL_GUJ13"/>
      <sheetName val="_Curve_Comp_x005f_x005f_x005f_x005f_x005f13"/>
      <sheetName val="[Curve_Comp_x005f_x005f_x005f_x005f_x005f13"/>
      <sheetName val="RG_Depots13"/>
      <sheetName val="dep_pre14"/>
      <sheetName val="Cover_page13"/>
      <sheetName val="Estrutura_Organizacional13"/>
      <sheetName val="1_DN_Coordenação13"/>
      <sheetName val="1_1_Matriz_Criticidade_Coord13"/>
      <sheetName val="2_DN_Gerência13"/>
      <sheetName val="2_1_Matriz_criticidade_Ger__13"/>
      <sheetName val="1__NASA13"/>
      <sheetName val="2_1_Matriz_criticidade_MP13"/>
      <sheetName val="Check_List-_Gerrot13"/>
      <sheetName val="estagios_e_blocos13"/>
      <sheetName val="Variaveis_Gerais13"/>
      <sheetName val="Disp_200413"/>
      <sheetName val="GEPEG_-_Volume_Mfe_+_Pelotas13"/>
      <sheetName val="Cost_Leadership_Capex_Inv_12"/>
      <sheetName val="Cost_Leadership_Capex_Div_12"/>
      <sheetName val="Cost_Sheet12"/>
      <sheetName val="chiet_tinh12"/>
      <sheetName val="Business_Description_BLOCK12"/>
      <sheetName val="1__Descripción_del_Negocio12"/>
      <sheetName val="2__M_Criticidad_Prod_o_Proces12"/>
      <sheetName val="3__Mapa_de_Proceso12"/>
      <sheetName val="4__M_Criticidad_Procesos12"/>
      <sheetName val="Process_Mapping_BLOCK12"/>
      <sheetName val="5__Tarea_1_Produccion_Despa12"/>
      <sheetName val="5__Tarea_2___cambio_de_formIB12"/>
      <sheetName val="5__Tarea_3__Producción_IBV12"/>
      <sheetName val="5__Tarea_4_Cambio_format_llen12"/>
      <sheetName val="5__Tarea_5__Arranque_Llenador12"/>
      <sheetName val="5__Tarea_6__Cambio_formato_et12"/>
      <sheetName val="5__Tarea_7__Produccion_1etiqu12"/>
      <sheetName val="5__Tarea_8_Producc_2_etiquet12"/>
      <sheetName val="5__Tarea_9_Producc__IBLL12"/>
      <sheetName val="5__Tarea_10_Produccion_Pale12"/>
      <sheetName val="1_1_Acuerdo_de_Nivel_de_Servi12"/>
      <sheetName val="BASE_DE_DADOS12"/>
      <sheetName val="Bajada_Cognos12"/>
      <sheetName val="Conv__Debt12"/>
      <sheetName val="Conv__Pref_12"/>
      <sheetName val="Shares_Outstanding12"/>
      <sheetName val="Firm_Value12"/>
      <sheetName val="Data_Input12"/>
      <sheetName val="SCF_-_BS12"/>
      <sheetName val="escen99_(2)12"/>
      <sheetName val="Planificador_Liga12"/>
      <sheetName val="Base_Única_Final_-_Preencher12"/>
      <sheetName val="Instruções_Preenchimento12"/>
      <sheetName val="Base_para_criticar12"/>
      <sheetName val="_Curve_Comp??_x000012"/>
      <sheetName val="General_Downloads12"/>
      <sheetName val="Resumen_General11"/>
      <sheetName val="CRITICIDAD_DE_CI11"/>
      <sheetName val="Cátalogo_de_CI11"/>
      <sheetName val="PLAN_DE_ACCION_Mayo11"/>
      <sheetName val="Catálogo_de_CI11"/>
      <sheetName val="TABELA_DE_PREÇOS11"/>
      <sheetName val="Controls_data11"/>
      <sheetName val="12월_판매(권역)11"/>
      <sheetName val="7월예산(지점)_(2)11"/>
      <sheetName val="kpi(7월_Activity)11"/>
      <sheetName val="_7월LE_및_재고11"/>
      <sheetName val="_8월재고11"/>
      <sheetName val="_8월재고_(2)11"/>
      <sheetName val="Operation_Target(중앙)11"/>
      <sheetName val="Bud_여행Program11"/>
      <sheetName val="월마감_예상11"/>
      <sheetName val="HE_JBP11"/>
      <sheetName val="HE생_확산계획11"/>
      <sheetName val="대신_대은11"/>
      <sheetName val="AR_Issue11"/>
      <sheetName val="risk_MS11"/>
      <sheetName val="risk_Vol11"/>
      <sheetName val="_Curve_Comp___x000010"/>
      <sheetName val="_Curve_Comp_x005f_x005f_x11"/>
      <sheetName val="유류대_현황10"/>
      <sheetName val="IS_BS_actual9"/>
      <sheetName val="Agosto_(2)9"/>
      <sheetName val="Hl_Acum9"/>
      <sheetName val="김형선_10"/>
      <sheetName val="차량운행일지_요일테이블_업뎃_완료10"/>
      <sheetName val="[Curve_Comp_x005f_x005f_x10"/>
      <sheetName val="FJJX_Bud_IB7"/>
      <sheetName val="Target_Book5"/>
      <sheetName val="TM1_SETTINGS6"/>
      <sheetName val="Estructura_SAP7"/>
      <sheetName val="Factor_8_Oz7"/>
      <sheetName val="control_sheet7"/>
      <sheetName val="Input_sheet7"/>
      <sheetName val="BBTS_USADOS6"/>
      <sheetName val="ANALISE_DO_LOSS6"/>
      <sheetName val="Integração_-_Earned_Value6"/>
      <sheetName val="VICTEL_($R)6"/>
      <sheetName val="BC_-_Main_model6"/>
      <sheetName val="BEAT_5"/>
      <sheetName val="CIEL_PURIFICADA_5"/>
      <sheetName val="DISNEY_5"/>
      <sheetName val="FANTA_5"/>
      <sheetName val="FRESCA_5"/>
      <sheetName val="COCA-COLA_EXPORT5"/>
      <sheetName val="COCA-COLA_LIGHT_5"/>
      <sheetName val="LIFT_5"/>
      <sheetName val="NESTEA_5"/>
      <sheetName val="POWERADE_5"/>
      <sheetName val="SENZAO_5"/>
      <sheetName val="_Curve_Comp_x9"/>
      <sheetName val="[Curve_Comp_x8"/>
      <sheetName val="Balances_al_30_06_20195"/>
      <sheetName val="POCM_배송지4"/>
      <sheetName val="BF_Database4"/>
      <sheetName val="BF_PL314"/>
      <sheetName val="Administrative_Information4"/>
      <sheetName val="Appendix_64"/>
      <sheetName val="Anexo_B4"/>
      <sheetName val="Brix_Xarope_BC4"/>
      <sheetName val="_Consid4"/>
      <sheetName val="_Relatório4"/>
      <sheetName val="_Resumo4"/>
      <sheetName val="9_14"/>
      <sheetName val="Turno_Manhã_4"/>
      <sheetName val="Turno_Tarde4"/>
      <sheetName val="Turno_Noite4"/>
      <sheetName val="Form_4"/>
      <sheetName val="Class_4"/>
      <sheetName val="drop_down_list3"/>
      <sheetName val="Financ__Overview3"/>
      <sheetName val="AOP-JUNE_FCST1"/>
      <sheetName val="SALDO_BAC1"/>
      <sheetName val="Outubro_20183"/>
      <sheetName val="costos"/>
      <sheetName val="VPL-FCA"/>
      <sheetName val="EFC"/>
      <sheetName val="Curve"/>
      <sheetName val="DESP_OPERAC"/>
      <sheetName val="Lista"/>
      <sheetName val="Balanço"/>
      <sheetName val="CRITERIA1"/>
      <sheetName val="Cambio"/>
      <sheetName val="Dados-CADAM"/>
      <sheetName val="Mes"/>
      <sheetName val="Import"/>
      <sheetName val="bd_custos"/>
      <sheetName val="bd_precos"/>
      <sheetName val="cursos"/>
      <sheetName val="informações"/>
      <sheetName val="bd_contas"/>
      <sheetName val="Yield_Curve24"/>
      <sheetName val="Yield_Curve_(2)24"/>
      <sheetName val="Brazil_Sovereign24"/>
      <sheetName val="Brazil_Swap24"/>
      <sheetName val="Price_(2)24"/>
      <sheetName val="Dados_Cash24"/>
      <sheetName val="PackAppear__(2)23"/>
      <sheetName val="Resu_Capex23"/>
      <sheetName val="Efic_Consumo23"/>
      <sheetName val="OOO_(2)23"/>
      <sheetName val="PackAppear_23"/>
      <sheetName val="PQCM_(2)23"/>
      <sheetName val="PQRM_(2)23"/>
      <sheetName val="Res_Executivo23"/>
      <sheetName val="2001_10_Cerv23"/>
      <sheetName val="PLAN_SAC_Cerveja23"/>
      <sheetName val="PLAN_SAC_RefrigeNanc23"/>
      <sheetName val="2001_04_Cerv23"/>
      <sheetName val="Farol_SAC_Cerveja23"/>
      <sheetName val="2001_04_Nanc23"/>
      <sheetName val="Farol_SAC_Refrigenanc23"/>
      <sheetName val="Sig_Cycles_Accts_&amp;_Processes23"/>
      <sheetName val="Calc_123"/>
      <sheetName val="WF_China_YTD21"/>
      <sheetName val="Curve_Comparisons21"/>
      <sheetName val="Riscos-Oport_21"/>
      <sheetName val="_Curve_Comp20"/>
      <sheetName val="Relatório_SDG20"/>
      <sheetName val="EI_Calc20"/>
      <sheetName val="기간별_판매진척21"/>
      <sheetName val="요일_테이블21"/>
      <sheetName val="LBO_Model20"/>
      <sheetName val="[Curve_Comp????????????Brazil20"/>
      <sheetName val="Balance_Fin_ajust_200420"/>
      <sheetName val="DATOS_PARA_INTERPOLACION20"/>
      <sheetName val="DPN_VALUE20"/>
      <sheetName val="Tabla_de_amortización20"/>
      <sheetName val="Coleta_dados19"/>
      <sheetName val="IV_Confiabilidade19"/>
      <sheetName val="IV_Indisponibilidade19"/>
      <sheetName val="Check_R__Diária19"/>
      <sheetName val="Histórico_Check_R__Diária19"/>
      <sheetName val="[Curve_Comp_x005f_x0000__x005f_x0000__x0019"/>
      <sheetName val="_Curve_Comp_x005f_x0000__x005f_x0000__x0019"/>
      <sheetName val="_Curve_Comp____________Brazil19"/>
      <sheetName val="Comparativo_99X0019"/>
      <sheetName val="Tabela_de_Parâmetros19"/>
      <sheetName val="Versao_1b_($=R$2,13)19"/>
      <sheetName val="[Curve_Comp19"/>
      <sheetName val="2_주요계수총괄19"/>
      <sheetName val="Fechamento_Mês19"/>
      <sheetName val="Fechamento_Diário19"/>
      <sheetName val="High_Light19"/>
      <sheetName val="%_Dispersão19"/>
      <sheetName val="%_Reprovação19"/>
      <sheetName val="%_Caco_Limpo_Unid_19"/>
      <sheetName val="Limpeza_de_Flint19"/>
      <sheetName val="Recb__Coop_19"/>
      <sheetName val="Recb__Flint19"/>
      <sheetName val="Apoio_Material19"/>
      <sheetName val="Apoio_transp_19"/>
      <sheetName val="Pg_119"/>
      <sheetName val="Vol-Mix_x_Seg_AN19"/>
      <sheetName val="5_119"/>
      <sheetName val="INVESTMENTS_EUR19"/>
      <sheetName val="DIVESTMENTS_EUR19"/>
      <sheetName val="Price_DB19"/>
      <sheetName val="_Curve_Comp_x005f_x005f_x005f_x0000__x00519"/>
      <sheetName val="[Curve_Comp_x005f_x005f_x005f_x0000__x00519"/>
      <sheetName val="Données_LMU19"/>
      <sheetName val="total_list19"/>
      <sheetName val="Total_CDD19"/>
      <sheetName val="Curve%20Comparisons_xls18"/>
      <sheetName val="LISTA_SUSPENSA18"/>
      <sheetName val="Directrices_de_Metas_201718"/>
      <sheetName val="_Curve_Comp_x005f_x0000__17"/>
      <sheetName val="Base_de_datos17"/>
      <sheetName val="TOP_KPIs_MTM17"/>
      <sheetName val="Data_Validation16"/>
      <sheetName val="PLAN_DE_ACCION16"/>
      <sheetName val="drop_down_menu16"/>
      <sheetName val="Graf_Planeadores16"/>
      <sheetName val="DROP_16"/>
      <sheetName val="Plan_de_Acción16"/>
      <sheetName val="01_2_valor_da_up16"/>
      <sheetName val="LSS_pivot15"/>
      <sheetName val="Value_lists15"/>
      <sheetName val="Share_Price_200215"/>
      <sheetName val="Load_Data15"/>
      <sheetName val="Tela_Inicial15"/>
      <sheetName val="Cálculo_TMEF-TMR15"/>
      <sheetName val="TMEF_-_TMR_13115"/>
      <sheetName val="TMEF_-_TMR_15115"/>
      <sheetName val="2RF98_(Mkt_9%)15"/>
      <sheetName val="Data_Input_Sheet15"/>
      <sheetName val="[Curve_Comp_x005f_x0000__15"/>
      <sheetName val="No_Tocar14"/>
      <sheetName val="INGRESO_(2)14"/>
      <sheetName val="LEGAL_GUJ14"/>
      <sheetName val="_Curve_Comp_x005f_x005f_x005f_x005f_x005f14"/>
      <sheetName val="[Curve_Comp_x005f_x005f_x005f_x005f_x005f14"/>
      <sheetName val="RG_Depots14"/>
      <sheetName val="dep_pre15"/>
      <sheetName val="Cover_page14"/>
      <sheetName val="Estrutura_Organizacional14"/>
      <sheetName val="1_DN_Coordenação14"/>
      <sheetName val="1_1_Matriz_Criticidade_Coord14"/>
      <sheetName val="2_DN_Gerência14"/>
      <sheetName val="2_1_Matriz_criticidade_Ger__14"/>
      <sheetName val="1__NASA14"/>
      <sheetName val="2_1_Matriz_criticidade_MP14"/>
      <sheetName val="Check_List-_Gerrot14"/>
      <sheetName val="estagios_e_blocos14"/>
      <sheetName val="Variaveis_Gerais14"/>
      <sheetName val="Disp_200414"/>
      <sheetName val="GEPEG_-_Volume_Mfe_+_Pelotas14"/>
      <sheetName val="Cost_Leadership_Capex_Inv_13"/>
      <sheetName val="Cost_Leadership_Capex_Div_13"/>
      <sheetName val="Cost_Sheet13"/>
      <sheetName val="Business_Description_BLOCK13"/>
      <sheetName val="1__Descripción_del_Negocio13"/>
      <sheetName val="2__M_Criticidad_Prod_o_Proces13"/>
      <sheetName val="3__Mapa_de_Proceso13"/>
      <sheetName val="4__M_Criticidad_Procesos13"/>
      <sheetName val="Process_Mapping_BLOCK13"/>
      <sheetName val="5__Tarea_1_Produccion_Despa13"/>
      <sheetName val="5__Tarea_2___cambio_de_formIB13"/>
      <sheetName val="5__Tarea_3__Producción_IBV13"/>
      <sheetName val="5__Tarea_4_Cambio_format_llen13"/>
      <sheetName val="5__Tarea_5__Arranque_Llenador13"/>
      <sheetName val="5__Tarea_6__Cambio_formato_et13"/>
      <sheetName val="5__Tarea_7__Produccion_1etiqu13"/>
      <sheetName val="5__Tarea_8_Producc_2_etiquet13"/>
      <sheetName val="5__Tarea_9_Producc__IBLL13"/>
      <sheetName val="5__Tarea_10_Produccion_Pale13"/>
      <sheetName val="1_1_Acuerdo_de_Nivel_de_Servi13"/>
      <sheetName val="chiet_tinh13"/>
      <sheetName val="Conv__Debt13"/>
      <sheetName val="Conv__Pref_13"/>
      <sheetName val="Shares_Outstanding13"/>
      <sheetName val="Firm_Value13"/>
      <sheetName val="Data_Input13"/>
      <sheetName val="SCF_-_BS13"/>
      <sheetName val="BASE_DE_DADOS13"/>
      <sheetName val="Bajada_Cognos13"/>
      <sheetName val="escen99_(2)13"/>
      <sheetName val="Planificador_Liga13"/>
      <sheetName val="Base_Única_Final_-_Preencher13"/>
      <sheetName val="Instruções_Preenchimento13"/>
      <sheetName val="Base_para_criticar13"/>
      <sheetName val="_Curve_Comp??_x000013"/>
      <sheetName val="Resumen_General12"/>
      <sheetName val="CRITICIDAD_DE_CI12"/>
      <sheetName val="Cátalogo_de_CI12"/>
      <sheetName val="PLAN_DE_ACCION_Mayo12"/>
      <sheetName val="Catálogo_de_CI12"/>
      <sheetName val="General_Downloads13"/>
      <sheetName val="TABELA_DE_PREÇOS12"/>
      <sheetName val="Controls_data12"/>
      <sheetName val="12월_판매(권역)12"/>
      <sheetName val="7월예산(지점)_(2)12"/>
      <sheetName val="kpi(7월_Activity)12"/>
      <sheetName val="_7월LE_및_재고12"/>
      <sheetName val="_8월재고12"/>
      <sheetName val="_8월재고_(2)12"/>
      <sheetName val="Operation_Target(중앙)12"/>
      <sheetName val="Bud_여행Program12"/>
      <sheetName val="월마감_예상12"/>
      <sheetName val="HE_JBP12"/>
      <sheetName val="HE생_확산계획12"/>
      <sheetName val="대신_대은12"/>
      <sheetName val="AR_Issue12"/>
      <sheetName val="risk_MS12"/>
      <sheetName val="risk_Vol12"/>
      <sheetName val="_Curve_Comp___x000011"/>
      <sheetName val="_Curve_Comp_x005f_x005f_x12"/>
      <sheetName val="유류대_현황11"/>
      <sheetName val="IS_BS_actual10"/>
      <sheetName val="Agosto_(2)10"/>
      <sheetName val="Hl_Acum10"/>
      <sheetName val="김형선_11"/>
      <sheetName val="차량운행일지_요일테이블_업뎃_완료11"/>
      <sheetName val="[Curve_Comp_x005f_x005f_x11"/>
      <sheetName val="FJJX_Bud_IB8"/>
      <sheetName val="Target_Book6"/>
      <sheetName val="TM1_SETTINGS7"/>
      <sheetName val="Estructura_SAP8"/>
      <sheetName val="Factor_8_Oz8"/>
      <sheetName val="control_sheet8"/>
      <sheetName val="Input_sheet8"/>
      <sheetName val="Integração_-_Earned_Value7"/>
      <sheetName val="VICTEL_($R)7"/>
      <sheetName val="BC_-_Main_model7"/>
      <sheetName val="BEAT_6"/>
      <sheetName val="CIEL_PURIFICADA_6"/>
      <sheetName val="DISNEY_6"/>
      <sheetName val="FANTA_6"/>
      <sheetName val="FRESCA_6"/>
      <sheetName val="COCA-COLA_EXPORT6"/>
      <sheetName val="COCA-COLA_LIGHT_6"/>
      <sheetName val="LIFT_6"/>
      <sheetName val="NESTEA_6"/>
      <sheetName val="POWERADE_6"/>
      <sheetName val="SENZAO_6"/>
      <sheetName val="_Curve_Comp_x10"/>
      <sheetName val="[Curve_Comp_x9"/>
      <sheetName val="Balances_al_30_06_20196"/>
      <sheetName val="POCM_배송지5"/>
      <sheetName val="BBTS_USADOS7"/>
      <sheetName val="ANALISE_DO_LOSS7"/>
      <sheetName val="BF_Database5"/>
      <sheetName val="BF_PL315"/>
      <sheetName val="Administrative_Information5"/>
      <sheetName val="Appendix_65"/>
      <sheetName val="Anexo_B5"/>
      <sheetName val="Brix_Xarope_BC5"/>
      <sheetName val="_Consid5"/>
      <sheetName val="_Relatório5"/>
      <sheetName val="_Resumo5"/>
      <sheetName val="Yield_Curve25"/>
      <sheetName val="Yield_Curve_(2)25"/>
      <sheetName val="Brazil_Sovereign25"/>
      <sheetName val="Brazil_Swap25"/>
      <sheetName val="Price_(2)25"/>
      <sheetName val="Dados_Cash25"/>
      <sheetName val="PackAppear__(2)24"/>
      <sheetName val="Resu_Capex24"/>
      <sheetName val="Efic_Consumo24"/>
      <sheetName val="OOO_(2)24"/>
      <sheetName val="PackAppear_24"/>
      <sheetName val="PQCM_(2)24"/>
      <sheetName val="PQRM_(2)24"/>
      <sheetName val="Res_Executivo24"/>
      <sheetName val="2001_10_Cerv24"/>
      <sheetName val="PLAN_SAC_Cerveja24"/>
      <sheetName val="PLAN_SAC_RefrigeNanc24"/>
      <sheetName val="2001_04_Cerv24"/>
      <sheetName val="Farol_SAC_Cerveja24"/>
      <sheetName val="2001_04_Nanc24"/>
      <sheetName val="Farol_SAC_Refrigenanc24"/>
      <sheetName val="Sig_Cycles_Accts_&amp;_Processes24"/>
      <sheetName val="Calc_124"/>
      <sheetName val="WF_China_YTD22"/>
      <sheetName val="Curve_Comparisons22"/>
      <sheetName val="Riscos-Oport_22"/>
      <sheetName val="_Curve_Comp21"/>
      <sheetName val="Relatório_SDG21"/>
      <sheetName val="EI_Calc21"/>
      <sheetName val="기간별_판매진척22"/>
      <sheetName val="요일_테이블22"/>
      <sheetName val="LBO_Model21"/>
      <sheetName val="[Curve_Comp????????????Brazil21"/>
      <sheetName val="Balance_Fin_ajust_200421"/>
      <sheetName val="DATOS_PARA_INTERPOLACION21"/>
      <sheetName val="DPN_VALUE21"/>
      <sheetName val="Tabla_de_amortización21"/>
      <sheetName val="Coleta_dados20"/>
      <sheetName val="IV_Confiabilidade20"/>
      <sheetName val="IV_Indisponibilidade20"/>
      <sheetName val="Check_R__Diária20"/>
      <sheetName val="Histórico_Check_R__Diária20"/>
      <sheetName val="[Curve_Comp_x005f_x0000__x005f_x0000__x0020"/>
      <sheetName val="_Curve_Comp_x005f_x0000__x005f_x0000__x0020"/>
      <sheetName val="_Curve_Comp____________Brazil20"/>
      <sheetName val="Comparativo_99X0020"/>
      <sheetName val="Tabela_de_Parâmetros20"/>
      <sheetName val="Versao_1b_($=R$2,13)20"/>
      <sheetName val="[Curve_Comp20"/>
      <sheetName val="2_주요계수총괄20"/>
      <sheetName val="Fechamento_Mês20"/>
      <sheetName val="Fechamento_Diário20"/>
      <sheetName val="High_Light20"/>
      <sheetName val="%_Dispersão20"/>
      <sheetName val="%_Reprovação20"/>
      <sheetName val="%_Caco_Limpo_Unid_20"/>
      <sheetName val="Limpeza_de_Flint20"/>
      <sheetName val="Recb__Coop_20"/>
      <sheetName val="Recb__Flint20"/>
      <sheetName val="Apoio_Material20"/>
      <sheetName val="Apoio_transp_20"/>
      <sheetName val="Pg_120"/>
      <sheetName val="Vol-Mix_x_Seg_AN20"/>
      <sheetName val="5_120"/>
      <sheetName val="INVESTMENTS_EUR20"/>
      <sheetName val="DIVESTMENTS_EUR20"/>
      <sheetName val="Price_DB20"/>
      <sheetName val="_Curve_Comp_x005f_x005f_x005f_x0000__x00520"/>
      <sheetName val="[Curve_Comp_x005f_x005f_x005f_x0000__x00520"/>
      <sheetName val="Données_LMU20"/>
      <sheetName val="total_list20"/>
      <sheetName val="Total_CDD20"/>
      <sheetName val="Curve%20Comparisons_xls19"/>
      <sheetName val="LISTA_SUSPENSA19"/>
      <sheetName val="Directrices_de_Metas_201719"/>
      <sheetName val="_Curve_Comp_x005f_x0000__18"/>
      <sheetName val="Base_de_datos18"/>
      <sheetName val="TOP_KPIs_MTM18"/>
      <sheetName val="Data_Validation17"/>
      <sheetName val="PLAN_DE_ACCION17"/>
      <sheetName val="drop_down_menu17"/>
      <sheetName val="Graf_Planeadores17"/>
      <sheetName val="DROP_17"/>
      <sheetName val="Plan_de_Acción17"/>
      <sheetName val="01_2_valor_da_up17"/>
      <sheetName val="LSS_pivot16"/>
      <sheetName val="Value_lists16"/>
      <sheetName val="Share_Price_200216"/>
      <sheetName val="Load_Data16"/>
      <sheetName val="Tela_Inicial16"/>
      <sheetName val="Cálculo_TMEF-TMR16"/>
      <sheetName val="TMEF_-_TMR_13116"/>
      <sheetName val="TMEF_-_TMR_15116"/>
      <sheetName val="2RF98_(Mkt_9%)16"/>
      <sheetName val="Data_Input_Sheet16"/>
      <sheetName val="[Curve_Comp_x005f_x0000__16"/>
      <sheetName val="No_Tocar15"/>
      <sheetName val="INGRESO_(2)15"/>
      <sheetName val="LEGAL_GUJ15"/>
      <sheetName val="_Curve_Comp_x005f_x005f_x005f_x005f_x005f15"/>
      <sheetName val="[Curve_Comp_x005f_x005f_x005f_x005f_x005f15"/>
      <sheetName val="RG_Depots15"/>
      <sheetName val="dep_pre16"/>
      <sheetName val="Cover_page15"/>
      <sheetName val="Estrutura_Organizacional15"/>
      <sheetName val="1_DN_Coordenação15"/>
      <sheetName val="1_1_Matriz_Criticidade_Coord15"/>
      <sheetName val="2_DN_Gerência15"/>
      <sheetName val="2_1_Matriz_criticidade_Ger__15"/>
      <sheetName val="1__NASA15"/>
      <sheetName val="2_1_Matriz_criticidade_MP15"/>
      <sheetName val="Check_List-_Gerrot15"/>
      <sheetName val="estagios_e_blocos15"/>
      <sheetName val="Variaveis_Gerais15"/>
      <sheetName val="Disp_200415"/>
      <sheetName val="GEPEG_-_Volume_Mfe_+_Pelotas15"/>
      <sheetName val="Cost_Leadership_Capex_Inv_14"/>
      <sheetName val="Cost_Leadership_Capex_Div_14"/>
      <sheetName val="Cost_Sheet14"/>
      <sheetName val="Business_Description_BLOCK14"/>
      <sheetName val="1__Descripción_del_Negocio14"/>
      <sheetName val="2__M_Criticidad_Prod_o_Proces14"/>
      <sheetName val="3__Mapa_de_Proceso14"/>
      <sheetName val="4__M_Criticidad_Procesos14"/>
      <sheetName val="Process_Mapping_BLOCK14"/>
      <sheetName val="5__Tarea_1_Produccion_Despa14"/>
      <sheetName val="5__Tarea_2___cambio_de_formIB14"/>
      <sheetName val="5__Tarea_3__Producción_IBV14"/>
      <sheetName val="5__Tarea_4_Cambio_format_llen14"/>
      <sheetName val="5__Tarea_5__Arranque_Llenador14"/>
      <sheetName val="5__Tarea_6__Cambio_formato_et14"/>
      <sheetName val="5__Tarea_7__Produccion_1etiqu14"/>
      <sheetName val="5__Tarea_8_Producc_2_etiquet14"/>
      <sheetName val="5__Tarea_9_Producc__IBLL14"/>
      <sheetName val="5__Tarea_10_Produccion_Pale14"/>
      <sheetName val="1_1_Acuerdo_de_Nivel_de_Servi14"/>
      <sheetName val="chiet_tinh14"/>
      <sheetName val="Conv__Debt14"/>
      <sheetName val="Conv__Pref_14"/>
      <sheetName val="Shares_Outstanding14"/>
      <sheetName val="Firm_Value14"/>
      <sheetName val="Data_Input14"/>
      <sheetName val="SCF_-_BS14"/>
      <sheetName val="BASE_DE_DADOS14"/>
      <sheetName val="Bajada_Cognos14"/>
      <sheetName val="escen99_(2)14"/>
      <sheetName val="Planificador_Liga14"/>
      <sheetName val="Base_Única_Final_-_Preencher14"/>
      <sheetName val="Instruções_Preenchimento14"/>
      <sheetName val="Base_para_criticar14"/>
      <sheetName val="_Curve_Comp??_x000014"/>
      <sheetName val="Resumen_General13"/>
      <sheetName val="CRITICIDAD_DE_CI13"/>
      <sheetName val="Cátalogo_de_CI13"/>
      <sheetName val="PLAN_DE_ACCION_Mayo13"/>
      <sheetName val="Catálogo_de_CI13"/>
      <sheetName val="General_Downloads14"/>
      <sheetName val="TABELA_DE_PREÇOS13"/>
      <sheetName val="Controls_data13"/>
      <sheetName val="12월_판매(권역)13"/>
      <sheetName val="7월예산(지점)_(2)13"/>
      <sheetName val="kpi(7월_Activity)13"/>
      <sheetName val="_7월LE_및_재고13"/>
      <sheetName val="_8월재고13"/>
      <sheetName val="_8월재고_(2)13"/>
      <sheetName val="Operation_Target(중앙)13"/>
      <sheetName val="Bud_여행Program13"/>
      <sheetName val="월마감_예상13"/>
      <sheetName val="HE_JBP13"/>
      <sheetName val="HE생_확산계획13"/>
      <sheetName val="대신_대은13"/>
      <sheetName val="AR_Issue13"/>
      <sheetName val="risk_MS13"/>
      <sheetName val="risk_Vol13"/>
      <sheetName val="_Curve_Comp___x000012"/>
      <sheetName val="_Curve_Comp_x005f_x005f_x13"/>
      <sheetName val="유류대_현황12"/>
      <sheetName val="IS_BS_actual11"/>
      <sheetName val="Agosto_(2)11"/>
      <sheetName val="Hl_Acum11"/>
      <sheetName val="김형선_12"/>
      <sheetName val="차량운행일지_요일테이블_업뎃_완료12"/>
      <sheetName val="[Curve_Comp_x005f_x005f_x12"/>
      <sheetName val="FJJX_Bud_IB9"/>
      <sheetName val="Target_Book7"/>
      <sheetName val="TM1_SETTINGS8"/>
      <sheetName val="Estructura_SAP9"/>
      <sheetName val="Factor_8_Oz9"/>
      <sheetName val="control_sheet9"/>
      <sheetName val="Input_sheet9"/>
      <sheetName val="Integração_-_Earned_Value8"/>
      <sheetName val="VICTEL_($R)8"/>
      <sheetName val="BC_-_Main_model8"/>
      <sheetName val="BEAT_7"/>
      <sheetName val="CIEL_PURIFICADA_7"/>
      <sheetName val="DISNEY_7"/>
      <sheetName val="FANTA_7"/>
      <sheetName val="FRESCA_7"/>
      <sheetName val="COCA-COLA_EXPORT7"/>
      <sheetName val="COCA-COLA_LIGHT_7"/>
      <sheetName val="LIFT_7"/>
      <sheetName val="NESTEA_7"/>
      <sheetName val="POWERADE_7"/>
      <sheetName val="SENZAO_7"/>
      <sheetName val="_Curve_Comp_x11"/>
      <sheetName val="[Curve_Comp_x10"/>
      <sheetName val="Balances_al_30_06_20197"/>
      <sheetName val="POCM_배송지6"/>
      <sheetName val="BBTS_USADOS8"/>
      <sheetName val="ANALISE_DO_LOSS8"/>
      <sheetName val="BF_Database6"/>
      <sheetName val="BF_PL316"/>
      <sheetName val="Administrative_Information6"/>
      <sheetName val="Appendix_66"/>
      <sheetName val="Anexo_B6"/>
      <sheetName val="Brix_Xarope_BC6"/>
      <sheetName val="_Consid6"/>
      <sheetName val="_Relatório6"/>
      <sheetName val="_Resumo6"/>
      <sheetName val="9_15"/>
      <sheetName val="Turno_Manhã_5"/>
      <sheetName val="Turno_Tarde5"/>
      <sheetName val="Turno_Noite5"/>
      <sheetName val="Form_5"/>
      <sheetName val="Class_5"/>
      <sheetName val="Interdependent_COUNTRY"/>
      <sheetName val="Interdependent_CAT"/>
      <sheetName val="Other_Listings"/>
      <sheetName val="Lookup_Collab__model"/>
      <sheetName val="drop_down_list4"/>
      <sheetName val="Financ__Overview4"/>
      <sheetName val="AOP-JUNE_FCST2"/>
      <sheetName val="SALDO_BAC2"/>
      <sheetName val="Outubro_20184"/>
      <sheetName val="BDM_12+126"/>
      <sheetName val="BDM_2+10_6"/>
      <sheetName val="Inbound_transport_costs6"/>
      <sheetName val="crediti_nuovi_clienti6"/>
      <sheetName val="Netta_con_mix6"/>
      <sheetName val="Netta_con_mix_e_cauzioni6"/>
      <sheetName val="KEg_deposits6"/>
      <sheetName val="Kegs_and_beer6"/>
      <sheetName val="Vols,_GSV6"/>
      <sheetName val="x_new3"/>
      <sheetName val="Chart_data1"/>
      <sheetName val="Dados BLP"/>
      <sheetName val="NRMixData_YTG"/>
      <sheetName val="1_Overview"/>
      <sheetName val="Report-Daily"/>
      <sheetName val="GraphData"/>
      <sheetName val="Dados_BLP"/>
      <sheetName val="[Curve_CompBrazil_S1"/>
      <sheetName val="_Curve_Comp_x00002"/>
      <sheetName val="[Curve_Comp_x00002"/>
      <sheetName val="_Curve_Comp_9"/>
      <sheetName val="[Curve_Comp_7"/>
      <sheetName val="Movement"/>
      <sheetName val="Ranges"/>
      <sheetName val="Resumen Costo"/>
      <sheetName val="9_16"/>
      <sheetName val="Turno_Manhã_6"/>
      <sheetName val="Turno_Tarde6"/>
      <sheetName val="Turno_Noite6"/>
      <sheetName val="Form_6"/>
      <sheetName val="Class_6"/>
      <sheetName val="drop_down_list5"/>
      <sheetName val="Financ__Overview5"/>
      <sheetName val="AOP-JUNE_FCST3"/>
      <sheetName val="SALDO_BAC3"/>
      <sheetName val="Outubro_20185"/>
      <sheetName val="BDM_12+127"/>
      <sheetName val="BDM_2+10_7"/>
      <sheetName val="Inbound_transport_costs7"/>
      <sheetName val="crediti_nuovi_clienti7"/>
      <sheetName val="Netta_con_mix7"/>
      <sheetName val="Netta_con_mix_e_cauzioni7"/>
      <sheetName val="KEg_deposits7"/>
      <sheetName val="Kegs_and_beer7"/>
      <sheetName val="Vols,_GSV7"/>
      <sheetName val="x_new4"/>
      <sheetName val="GRAPH_DATA2"/>
      <sheetName val="Interdependent_COUNTRY1"/>
      <sheetName val="Interdependent_CAT1"/>
      <sheetName val="Other_Listings1"/>
      <sheetName val="Lookup_Collab__model1"/>
      <sheetName val="Interdependent_COUNTRY2"/>
      <sheetName val="Interdependent_CAT2"/>
      <sheetName val="Other_Listings2"/>
      <sheetName val="Lookup_Collab__model2"/>
      <sheetName val="Interdependent_COUNTRY3"/>
      <sheetName val="Interdependent_CAT3"/>
      <sheetName val="Other_Listings3"/>
      <sheetName val="Lookup_Collab__model3"/>
      <sheetName val="Interdependent_COUNTRY4"/>
      <sheetName val="Interdependent_CAT4"/>
      <sheetName val="Other_Listings4"/>
      <sheetName val="Lookup_Collab__model4"/>
      <sheetName val="Interdependent_COUNTRY5"/>
      <sheetName val="Interdependent_CAT5"/>
      <sheetName val="Other_Listings5"/>
      <sheetName val="Lookup_Collab__model5"/>
      <sheetName val="Yield_Curve26"/>
      <sheetName val="Yield_Curve_(2)26"/>
      <sheetName val="Brazil_Sovereign26"/>
      <sheetName val="Brazil_Swap26"/>
      <sheetName val="Price_(2)26"/>
      <sheetName val="Dados_Cash26"/>
      <sheetName val="PackAppear__(2)25"/>
      <sheetName val="Resu_Capex25"/>
      <sheetName val="Efic_Consumo25"/>
      <sheetName val="OOO_(2)25"/>
      <sheetName val="PackAppear_25"/>
      <sheetName val="PQCM_(2)25"/>
      <sheetName val="PQRM_(2)25"/>
      <sheetName val="Res_Executivo25"/>
      <sheetName val="2001_10_Cerv25"/>
      <sheetName val="PLAN_SAC_Cerveja25"/>
      <sheetName val="PLAN_SAC_RefrigeNanc25"/>
      <sheetName val="2001_04_Cerv25"/>
      <sheetName val="Farol_SAC_Cerveja25"/>
      <sheetName val="2001_04_Nanc25"/>
      <sheetName val="Farol_SAC_Refrigenanc25"/>
      <sheetName val="Sig_Cycles_Accts_&amp;_Processes25"/>
      <sheetName val="Calc_125"/>
      <sheetName val="WF_China_YTD23"/>
      <sheetName val="Curve_Comparisons23"/>
      <sheetName val="Riscos-Oport_23"/>
      <sheetName val="Relatório_SDG22"/>
      <sheetName val="_Curve_Comp22"/>
      <sheetName val="EI_Calc22"/>
      <sheetName val="기간별_판매진척23"/>
      <sheetName val="요일_테이블23"/>
      <sheetName val="LBO_Model22"/>
      <sheetName val="[Curve_Comp????????????Brazil22"/>
      <sheetName val="Balance_Fin_ajust_200422"/>
      <sheetName val="DATOS_PARA_INTERPOLACION22"/>
      <sheetName val="DPN_VALUE22"/>
      <sheetName val="Tabla_de_amortización22"/>
      <sheetName val="Coleta_dados21"/>
      <sheetName val="IV_Confiabilidade21"/>
      <sheetName val="IV_Indisponibilidade21"/>
      <sheetName val="Check_R__Diária21"/>
      <sheetName val="Histórico_Check_R__Diária21"/>
      <sheetName val="Fechamento_Mês21"/>
      <sheetName val="Fechamento_Diário21"/>
      <sheetName val="High_Light21"/>
      <sheetName val="%_Dispersão21"/>
      <sheetName val="%_Reprovação21"/>
      <sheetName val="%_Caco_Limpo_Unid_21"/>
      <sheetName val="Limpeza_de_Flint21"/>
      <sheetName val="Recb__Coop_21"/>
      <sheetName val="Recb__Flint21"/>
      <sheetName val="Apoio_Material21"/>
      <sheetName val="Apoio_transp_21"/>
      <sheetName val="[Curve_Comp_x005f_x0000__x005f_x0000__x0021"/>
      <sheetName val="_Curve_Comp_x005f_x0000__x005f_x0000__x0021"/>
      <sheetName val="_Curve_Comp____________Brazil21"/>
      <sheetName val="Comparativo_99X0021"/>
      <sheetName val="Tabela_de_Parâmetros21"/>
      <sheetName val="Versao_1b_($=R$2,13)21"/>
      <sheetName val="[Curve_Comp21"/>
      <sheetName val="2_주요계수총괄21"/>
      <sheetName val="Pg_121"/>
      <sheetName val="Vol-Mix_x_Seg_AN21"/>
      <sheetName val="5_121"/>
      <sheetName val="INVESTMENTS_EUR21"/>
      <sheetName val="DIVESTMENTS_EUR21"/>
      <sheetName val="Price_DB21"/>
      <sheetName val="_Curve_Comp_x005f_x005f_x005f_x0000__x00521"/>
      <sheetName val="[Curve_Comp_x005f_x005f_x005f_x0000__x00521"/>
      <sheetName val="Données_LMU21"/>
      <sheetName val="Total_CDD21"/>
      <sheetName val="total_list21"/>
      <sheetName val="Curve%20Comparisons_xls20"/>
      <sheetName val="LISTA_SUSPENSA20"/>
      <sheetName val="Directrices_de_Metas_201720"/>
      <sheetName val="_Curve_Comp_x005f_x0000__19"/>
      <sheetName val="Base_de_datos19"/>
      <sheetName val="TOP_KPIs_MTM19"/>
      <sheetName val="Data_Validation18"/>
      <sheetName val="PLAN_DE_ACCION18"/>
      <sheetName val="drop_down_menu18"/>
      <sheetName val="Graf_Planeadores18"/>
      <sheetName val="Plan_de_Acción18"/>
      <sheetName val="DROP_18"/>
      <sheetName val="01_2_valor_da_up18"/>
      <sheetName val="LSS_pivot17"/>
      <sheetName val="Value_lists17"/>
      <sheetName val="2RF98_(Mkt_9%)17"/>
      <sheetName val="Share_Price_200217"/>
      <sheetName val="Tela_Inicial17"/>
      <sheetName val="Cálculo_TMEF-TMR17"/>
      <sheetName val="TMEF_-_TMR_13117"/>
      <sheetName val="TMEF_-_TMR_15117"/>
      <sheetName val="[Curve_Comp_x005f_x0000__17"/>
      <sheetName val="Load_Data17"/>
      <sheetName val="Data_Input_Sheet17"/>
      <sheetName val="RG_Depots16"/>
      <sheetName val="Check_List-_Gerrot16"/>
      <sheetName val="estagios_e_blocos16"/>
      <sheetName val="Variaveis_Gerais16"/>
      <sheetName val="Disp_200416"/>
      <sheetName val="GEPEG_-_Volume_Mfe_+_Pelotas16"/>
      <sheetName val="LEGAL_GUJ16"/>
      <sheetName val="_Curve_Comp_x005f_x005f_x005f_x005f_x005f16"/>
      <sheetName val="[Curve_Comp_x005f_x005f_x005f_x005f_x005f16"/>
      <sheetName val="Cover_page16"/>
      <sheetName val="Estrutura_Organizacional16"/>
      <sheetName val="1_DN_Coordenação16"/>
      <sheetName val="1_1_Matriz_Criticidade_Coord16"/>
      <sheetName val="2_DN_Gerência16"/>
      <sheetName val="2_1_Matriz_criticidade_Ger__16"/>
      <sheetName val="1__NASA16"/>
      <sheetName val="2_1_Matriz_criticidade_MP16"/>
      <sheetName val="dep_pre17"/>
      <sheetName val="INGRESO_(2)16"/>
      <sheetName val="No_Tocar16"/>
      <sheetName val="Cost_Sheet15"/>
      <sheetName val="Cost_Leadership_Capex_Inv_15"/>
      <sheetName val="Cost_Leadership_Capex_Div_15"/>
      <sheetName val="BASE_DE_DADOS15"/>
      <sheetName val="chiet_tinh15"/>
      <sheetName val="Bajada_Cognos15"/>
      <sheetName val="Business_Description_BLOCK15"/>
      <sheetName val="1__Descripción_del_Negocio15"/>
      <sheetName val="2__M_Criticidad_Prod_o_Proces15"/>
      <sheetName val="3__Mapa_de_Proceso15"/>
      <sheetName val="4__M_Criticidad_Procesos15"/>
      <sheetName val="Process_Mapping_BLOCK15"/>
      <sheetName val="5__Tarea_1_Produccion_Despa15"/>
      <sheetName val="5__Tarea_2___cambio_de_formIB15"/>
      <sheetName val="5__Tarea_3__Producción_IBV15"/>
      <sheetName val="5__Tarea_4_Cambio_format_llen15"/>
      <sheetName val="5__Tarea_5__Arranque_Llenador15"/>
      <sheetName val="5__Tarea_6__Cambio_formato_et15"/>
      <sheetName val="5__Tarea_7__Produccion_1etiqu15"/>
      <sheetName val="5__Tarea_8_Producc_2_etiquet15"/>
      <sheetName val="5__Tarea_9_Producc__IBLL15"/>
      <sheetName val="5__Tarea_10_Produccion_Pale15"/>
      <sheetName val="1_1_Acuerdo_de_Nivel_de_Servi15"/>
      <sheetName val="escen99_(2)15"/>
      <sheetName val="Planificador_Liga15"/>
      <sheetName val="Base_Única_Final_-_Preencher15"/>
      <sheetName val="Instruções_Preenchimento15"/>
      <sheetName val="Base_para_criticar15"/>
      <sheetName val="_Curve_Comp??_x000015"/>
      <sheetName val="Conv__Debt15"/>
      <sheetName val="Conv__Pref_15"/>
      <sheetName val="Shares_Outstanding15"/>
      <sheetName val="Firm_Value15"/>
      <sheetName val="Data_Input15"/>
      <sheetName val="SCF_-_BS15"/>
      <sheetName val="General_Downloads15"/>
      <sheetName val="TABELA_DE_PREÇOS14"/>
      <sheetName val="Hl_Acum12"/>
      <sheetName val="IS_BS_actual12"/>
      <sheetName val="Agosto_(2)12"/>
      <sheetName val="Resumen_General14"/>
      <sheetName val="CRITICIDAD_DE_CI14"/>
      <sheetName val="Cátalogo_de_CI14"/>
      <sheetName val="PLAN_DE_ACCION_Mayo14"/>
      <sheetName val="Catálogo_de_CI14"/>
      <sheetName val="Controls_data14"/>
      <sheetName val="12월_판매(권역)14"/>
      <sheetName val="7월예산(지점)_(2)14"/>
      <sheetName val="kpi(7월_Activity)14"/>
      <sheetName val="_7월LE_및_재고14"/>
      <sheetName val="_8월재고14"/>
      <sheetName val="_8월재고_(2)14"/>
      <sheetName val="Operation_Target(중앙)14"/>
      <sheetName val="Bud_여행Program14"/>
      <sheetName val="월마감_예상14"/>
      <sheetName val="HE_JBP14"/>
      <sheetName val="HE생_확산계획14"/>
      <sheetName val="대신_대은14"/>
      <sheetName val="AR_Issue14"/>
      <sheetName val="risk_MS14"/>
      <sheetName val="risk_Vol14"/>
      <sheetName val="유류대_현황13"/>
      <sheetName val="_Curve_Comp___x000013"/>
      <sheetName val="_Curve_Comp_x005f_x005f_x14"/>
      <sheetName val="김형선_13"/>
      <sheetName val="차량운행일지_요일테이블_업뎃_완료13"/>
      <sheetName val="[Curve_Comp_x005f_x005f_x13"/>
      <sheetName val="FJJX_Bud_IB10"/>
      <sheetName val="Estructura_SAP10"/>
      <sheetName val="Factor_8_Oz10"/>
      <sheetName val="control_sheet10"/>
      <sheetName val="Input_sheet10"/>
      <sheetName val="TM1_SETTINGS9"/>
      <sheetName val="Target_Book8"/>
      <sheetName val="Balances_al_30_06_20198"/>
      <sheetName val="Integração_-_Earned_Value9"/>
      <sheetName val="VICTEL_($R)9"/>
      <sheetName val="BC_-_Main_model9"/>
      <sheetName val="BEAT_8"/>
      <sheetName val="CIEL_PURIFICADA_8"/>
      <sheetName val="DISNEY_8"/>
      <sheetName val="FANTA_8"/>
      <sheetName val="FRESCA_8"/>
      <sheetName val="COCA-COLA_EXPORT8"/>
      <sheetName val="COCA-COLA_LIGHT_8"/>
      <sheetName val="LIFT_8"/>
      <sheetName val="NESTEA_8"/>
      <sheetName val="POWERADE_8"/>
      <sheetName val="SENZAO_8"/>
      <sheetName val="_Curve_Comp_x12"/>
      <sheetName val="[Curve_Comp_x11"/>
      <sheetName val="BF_Database7"/>
      <sheetName val="BF_PL317"/>
      <sheetName val="Administrative_Information7"/>
      <sheetName val="Appendix_67"/>
      <sheetName val="Anexo_B7"/>
      <sheetName val="POCM_배송지7"/>
      <sheetName val="Brix_Xarope_BC7"/>
      <sheetName val="_Consid7"/>
      <sheetName val="_Relatório7"/>
      <sheetName val="_Resumo7"/>
      <sheetName val="Turno_Manhã_7"/>
      <sheetName val="Turno_Tarde7"/>
      <sheetName val="Turno_Noite7"/>
      <sheetName val="Form_7"/>
      <sheetName val="Class_7"/>
      <sheetName val="9_17"/>
      <sheetName val="Outubro_20186"/>
      <sheetName val="Interdependent_COUNTRY6"/>
      <sheetName val="Interdependent_CAT6"/>
      <sheetName val="Other_Listings6"/>
      <sheetName val="Lookup_Collab__model6"/>
      <sheetName val="Yield_Curve27"/>
      <sheetName val="Yield_Curve_(2)27"/>
      <sheetName val="Brazil_Sovereign27"/>
      <sheetName val="Brazil_Swap27"/>
      <sheetName val="Price_(2)27"/>
      <sheetName val="Dados_Cash27"/>
      <sheetName val="PackAppear__(2)26"/>
      <sheetName val="Resu_Capex26"/>
      <sheetName val="Efic_Consumo26"/>
      <sheetName val="OOO_(2)26"/>
      <sheetName val="PackAppear_26"/>
      <sheetName val="PQCM_(2)26"/>
      <sheetName val="PQRM_(2)26"/>
      <sheetName val="Res_Executivo26"/>
      <sheetName val="2001_10_Cerv26"/>
      <sheetName val="PLAN_SAC_Cerveja26"/>
      <sheetName val="PLAN_SAC_RefrigeNanc26"/>
      <sheetName val="2001_04_Cerv26"/>
      <sheetName val="Farol_SAC_Cerveja26"/>
      <sheetName val="2001_04_Nanc26"/>
      <sheetName val="Farol_SAC_Refrigenanc26"/>
      <sheetName val="Sig_Cycles_Accts_&amp;_Processes26"/>
      <sheetName val="Calc_126"/>
      <sheetName val="WF_China_YTD24"/>
      <sheetName val="Curve_Comparisons24"/>
      <sheetName val="Riscos-Oport_24"/>
      <sheetName val="Relatório_SDG23"/>
      <sheetName val="_Curve_Comp23"/>
      <sheetName val="EI_Calc23"/>
      <sheetName val="기간별_판매진척24"/>
      <sheetName val="요일_테이블24"/>
      <sheetName val="LBO_Model23"/>
      <sheetName val="[Curve_Comp????????????Brazil23"/>
      <sheetName val="Balance_Fin_ajust_200423"/>
      <sheetName val="DATOS_PARA_INTERPOLACION23"/>
      <sheetName val="DPN_VALUE23"/>
      <sheetName val="Tabla_de_amortización23"/>
      <sheetName val="Coleta_dados22"/>
      <sheetName val="IV_Confiabilidade22"/>
      <sheetName val="IV_Indisponibilidade22"/>
      <sheetName val="Check_R__Diária22"/>
      <sheetName val="Histórico_Check_R__Diária22"/>
      <sheetName val="Fechamento_Mês22"/>
      <sheetName val="Fechamento_Diário22"/>
      <sheetName val="High_Light22"/>
      <sheetName val="%_Dispersão22"/>
      <sheetName val="%_Reprovação22"/>
      <sheetName val="%_Caco_Limpo_Unid_22"/>
      <sheetName val="Limpeza_de_Flint22"/>
      <sheetName val="Recb__Coop_22"/>
      <sheetName val="Recb__Flint22"/>
      <sheetName val="Apoio_Material22"/>
      <sheetName val="Apoio_transp_22"/>
      <sheetName val="[Curve_Comp_x005f_x0000__x005f_x0000__x0022"/>
      <sheetName val="_Curve_Comp_x005f_x0000__x005f_x0000__x0022"/>
      <sheetName val="_Curve_Comp____________Brazil22"/>
      <sheetName val="Comparativo_99X0022"/>
      <sheetName val="Tabela_de_Parâmetros22"/>
      <sheetName val="Versao_1b_($=R$2,13)22"/>
      <sheetName val="[Curve_Comp22"/>
      <sheetName val="2_주요계수총괄22"/>
      <sheetName val="Pg_122"/>
      <sheetName val="Vol-Mix_x_Seg_AN22"/>
      <sheetName val="5_122"/>
      <sheetName val="INVESTMENTS_EUR22"/>
      <sheetName val="DIVESTMENTS_EUR22"/>
      <sheetName val="Price_DB22"/>
      <sheetName val="_Curve_Comp_x005f_x005f_x005f_x0000__x00522"/>
      <sheetName val="[Curve_Comp_x005f_x005f_x005f_x0000__x00522"/>
      <sheetName val="Données_LMU22"/>
      <sheetName val="Total_CDD22"/>
      <sheetName val="total_list22"/>
      <sheetName val="Curve%20Comparisons_xls21"/>
      <sheetName val="LISTA_SUSPENSA21"/>
      <sheetName val="Directrices_de_Metas_201721"/>
      <sheetName val="_Curve_Comp_x005f_x0000__20"/>
      <sheetName val="Base_de_datos20"/>
      <sheetName val="TOP_KPIs_MTM20"/>
      <sheetName val="Data_Validation19"/>
      <sheetName val="PLAN_DE_ACCION19"/>
      <sheetName val="drop_down_menu19"/>
      <sheetName val="Graf_Planeadores19"/>
      <sheetName val="Plan_de_Acción19"/>
      <sheetName val="DROP_19"/>
      <sheetName val="01_2_valor_da_up19"/>
      <sheetName val="LSS_pivot18"/>
      <sheetName val="Value_lists18"/>
      <sheetName val="2RF98_(Mkt_9%)18"/>
      <sheetName val="Share_Price_200218"/>
      <sheetName val="Tela_Inicial18"/>
      <sheetName val="Cálculo_TMEF-TMR18"/>
      <sheetName val="TMEF_-_TMR_13118"/>
      <sheetName val="TMEF_-_TMR_15118"/>
      <sheetName val="[Curve_Comp_x005f_x0000__18"/>
      <sheetName val="Load_Data18"/>
      <sheetName val="Data_Input_Sheet18"/>
      <sheetName val="RG_Depots17"/>
      <sheetName val="Check_List-_Gerrot17"/>
      <sheetName val="estagios_e_blocos17"/>
      <sheetName val="Variaveis_Gerais17"/>
      <sheetName val="Disp_200417"/>
      <sheetName val="GEPEG_-_Volume_Mfe_+_Pelotas17"/>
      <sheetName val="LEGAL_GUJ17"/>
      <sheetName val="_Curve_Comp_x005f_x005f_x005f_x005f_x005f17"/>
      <sheetName val="[Curve_Comp_x005f_x005f_x005f_x005f_x005f17"/>
      <sheetName val="Cover_page17"/>
      <sheetName val="Estrutura_Organizacional17"/>
      <sheetName val="1_DN_Coordenação17"/>
      <sheetName val="1_1_Matriz_Criticidade_Coord17"/>
      <sheetName val="2_DN_Gerência17"/>
      <sheetName val="2_1_Matriz_criticidade_Ger__17"/>
      <sheetName val="1__NASA17"/>
      <sheetName val="2_1_Matriz_criticidade_MP17"/>
      <sheetName val="dep_pre18"/>
      <sheetName val="INGRESO_(2)17"/>
      <sheetName val="No_Tocar17"/>
      <sheetName val="Cost_Sheet16"/>
      <sheetName val="Cost_Leadership_Capex_Inv_16"/>
      <sheetName val="Cost_Leadership_Capex_Div_16"/>
      <sheetName val="BASE_DE_DADOS16"/>
      <sheetName val="chiet_tinh16"/>
      <sheetName val="Bajada_Cognos16"/>
      <sheetName val="Business_Description_BLOCK16"/>
      <sheetName val="1__Descripción_del_Negocio16"/>
      <sheetName val="2__M_Criticidad_Prod_o_Proces16"/>
      <sheetName val="3__Mapa_de_Proceso16"/>
      <sheetName val="4__M_Criticidad_Procesos16"/>
      <sheetName val="Process_Mapping_BLOCK16"/>
      <sheetName val="5__Tarea_1_Produccion_Despa16"/>
      <sheetName val="5__Tarea_2___cambio_de_formIB16"/>
      <sheetName val="5__Tarea_3__Producción_IBV16"/>
      <sheetName val="5__Tarea_4_Cambio_format_llen16"/>
      <sheetName val="5__Tarea_5__Arranque_Llenador16"/>
      <sheetName val="5__Tarea_6__Cambio_formato_et16"/>
      <sheetName val="5__Tarea_7__Produccion_1etiqu16"/>
      <sheetName val="5__Tarea_8_Producc_2_etiquet16"/>
      <sheetName val="5__Tarea_9_Producc__IBLL16"/>
      <sheetName val="5__Tarea_10_Produccion_Pale16"/>
      <sheetName val="1_1_Acuerdo_de_Nivel_de_Servi16"/>
      <sheetName val="escen99_(2)16"/>
      <sheetName val="Planificador_Liga16"/>
      <sheetName val="Base_Única_Final_-_Preencher16"/>
      <sheetName val="Instruções_Preenchimento16"/>
      <sheetName val="Base_para_criticar16"/>
      <sheetName val="_Curve_Comp??_x000016"/>
      <sheetName val="Conv__Debt16"/>
      <sheetName val="Conv__Pref_16"/>
      <sheetName val="Shares_Outstanding16"/>
      <sheetName val="Firm_Value16"/>
      <sheetName val="Data_Input16"/>
      <sheetName val="SCF_-_BS16"/>
      <sheetName val="General_Downloads16"/>
      <sheetName val="TABELA_DE_PREÇOS15"/>
      <sheetName val="Hl_Acum13"/>
      <sheetName val="IS_BS_actual13"/>
      <sheetName val="Agosto_(2)13"/>
      <sheetName val="Resumen_General15"/>
      <sheetName val="CRITICIDAD_DE_CI15"/>
      <sheetName val="Cátalogo_de_CI15"/>
      <sheetName val="PLAN_DE_ACCION_Mayo15"/>
      <sheetName val="Catálogo_de_CI15"/>
      <sheetName val="Controls_data15"/>
      <sheetName val="12월_판매(권역)15"/>
      <sheetName val="7월예산(지점)_(2)15"/>
      <sheetName val="kpi(7월_Activity)15"/>
      <sheetName val="_7월LE_및_재고15"/>
      <sheetName val="_8월재고15"/>
      <sheetName val="_8월재고_(2)15"/>
      <sheetName val="Operation_Target(중앙)15"/>
      <sheetName val="Bud_여행Program15"/>
      <sheetName val="월마감_예상15"/>
      <sheetName val="HE_JBP15"/>
      <sheetName val="HE생_확산계획15"/>
      <sheetName val="대신_대은15"/>
      <sheetName val="AR_Issue15"/>
      <sheetName val="risk_MS15"/>
      <sheetName val="risk_Vol15"/>
      <sheetName val="유류대_현황14"/>
      <sheetName val="_Curve_Comp___x000014"/>
      <sheetName val="_Curve_Comp_x005f_x005f_x15"/>
      <sheetName val="김형선_14"/>
      <sheetName val="차량운행일지_요일테이블_업뎃_완료14"/>
      <sheetName val="[Curve_Comp_x005f_x005f_x14"/>
      <sheetName val="FJJX_Bud_IB11"/>
      <sheetName val="Estructura_SAP11"/>
      <sheetName val="Factor_8_Oz11"/>
      <sheetName val="control_sheet11"/>
      <sheetName val="Input_sheet11"/>
      <sheetName val="TM1_SETTINGS10"/>
      <sheetName val="Target_Book9"/>
      <sheetName val="Balances_al_30_06_20199"/>
      <sheetName val="Integração_-_Earned_Value10"/>
      <sheetName val="VICTEL_($R)10"/>
      <sheetName val="BC_-_Main_model10"/>
      <sheetName val="BEAT_9"/>
      <sheetName val="CIEL_PURIFICADA_9"/>
      <sheetName val="DISNEY_9"/>
      <sheetName val="FANTA_9"/>
      <sheetName val="FRESCA_9"/>
      <sheetName val="COCA-COLA_EXPORT9"/>
      <sheetName val="COCA-COLA_LIGHT_9"/>
      <sheetName val="LIFT_9"/>
      <sheetName val="NESTEA_9"/>
      <sheetName val="POWERADE_9"/>
      <sheetName val="SENZAO_9"/>
      <sheetName val="BBTS_USADOS9"/>
      <sheetName val="ANALISE_DO_LOSS9"/>
      <sheetName val="_Curve_Comp_x13"/>
      <sheetName val="[Curve_Comp_x12"/>
      <sheetName val="BF_Database8"/>
      <sheetName val="BF_PL318"/>
      <sheetName val="Administrative_Information8"/>
      <sheetName val="Appendix_68"/>
      <sheetName val="Anexo_B8"/>
      <sheetName val="POCM_배송지8"/>
      <sheetName val="Brix_Xarope_BC8"/>
      <sheetName val="_Consid8"/>
      <sheetName val="_Relatório8"/>
      <sheetName val="_Resumo8"/>
      <sheetName val="Turno_Manhã_8"/>
      <sheetName val="Turno_Tarde8"/>
      <sheetName val="Turno_Noite8"/>
      <sheetName val="Form_8"/>
      <sheetName val="Class_8"/>
      <sheetName val="9_18"/>
      <sheetName val="Outubro_20187"/>
      <sheetName val="Interdependent_COUNTRY7"/>
      <sheetName val="Interdependent_CAT7"/>
      <sheetName val="Other_Listings7"/>
      <sheetName val="Lookup_Collab__model7"/>
      <sheetName val="CONSSID12-96"/>
      <sheetName val="Constants"/>
      <sheetName val="POP cost"/>
      <sheetName val="Sig_Cycles_Accts_&amp;_Proces_x0003_es11"/>
      <sheetName val="Yield_Curve28"/>
      <sheetName val="Yield_Curve_(2)28"/>
      <sheetName val="Brazil_Sovereign28"/>
      <sheetName val="Brazil_Swap28"/>
      <sheetName val="Price_(2)28"/>
      <sheetName val="Dados_Cash28"/>
      <sheetName val="PackAppear__(2)27"/>
      <sheetName val="Resu_Capex27"/>
      <sheetName val="Efic_Consumo27"/>
      <sheetName val="OOO_(2)27"/>
      <sheetName val="PackAppear_27"/>
      <sheetName val="PQCM_(2)27"/>
      <sheetName val="PQRM_(2)27"/>
      <sheetName val="Res_Executivo27"/>
      <sheetName val="2001_10_Cerv27"/>
      <sheetName val="PLAN_SAC_Cerveja27"/>
      <sheetName val="PLAN_SAC_RefrigeNanc27"/>
      <sheetName val="2001_04_Cerv27"/>
      <sheetName val="Farol_SAC_Cerveja27"/>
      <sheetName val="2001_04_Nanc27"/>
      <sheetName val="Farol_SAC_Refrigenanc27"/>
      <sheetName val="Sig_Cycles_Accts_&amp;_Processes27"/>
      <sheetName val="Calc_127"/>
      <sheetName val="WF_China_YTD25"/>
      <sheetName val="Curve_Comparisons25"/>
      <sheetName val="Riscos-Oport_25"/>
      <sheetName val="Relatório_SDG24"/>
      <sheetName val="_Curve_Comp24"/>
      <sheetName val="EI_Calc24"/>
      <sheetName val="기간별_판매진척25"/>
      <sheetName val="요일_테이블25"/>
      <sheetName val="LBO_Model24"/>
      <sheetName val="[Curve_Comp????????????Brazil24"/>
      <sheetName val="Balance_Fin_ajust_200424"/>
      <sheetName val="DATOS_PARA_INTERPOLACION24"/>
      <sheetName val="DPN_VALUE24"/>
      <sheetName val="Tabla_de_amortización24"/>
      <sheetName val="Coleta_dados23"/>
      <sheetName val="IV_Confiabilidade23"/>
      <sheetName val="IV_Indisponibilidade23"/>
      <sheetName val="Check_R__Diária23"/>
      <sheetName val="Histórico_Check_R__Diária23"/>
      <sheetName val="Fechamento_Mês23"/>
      <sheetName val="Fechamento_Diário23"/>
      <sheetName val="High_Light23"/>
      <sheetName val="%_Dispersão23"/>
      <sheetName val="%_Reprovação23"/>
      <sheetName val="%_Caco_Limpo_Unid_23"/>
      <sheetName val="Limpeza_de_Flint23"/>
      <sheetName val="Recb__Coop_23"/>
      <sheetName val="Recb__Flint23"/>
      <sheetName val="Apoio_Material23"/>
      <sheetName val="Apoio_transp_23"/>
      <sheetName val="[Curve_Comp_x005f_x0000__x005f_x0000__x0023"/>
      <sheetName val="_Curve_Comp_x005f_x0000__x005f_x0000__x0023"/>
      <sheetName val="_Curve_Comp____________Brazil23"/>
      <sheetName val="Comparativo_99X0023"/>
      <sheetName val="Tabela_de_Parâmetros23"/>
      <sheetName val="Versao_1b_($=R$2,13)23"/>
      <sheetName val="[Curve_Comp23"/>
      <sheetName val="2_주요계수총괄23"/>
      <sheetName val="Pg_123"/>
      <sheetName val="Vol-Mix_x_Seg_AN23"/>
      <sheetName val="5_123"/>
      <sheetName val="INVESTMENTS_EUR23"/>
      <sheetName val="DIVESTMENTS_EUR23"/>
      <sheetName val="Price_DB23"/>
      <sheetName val="_Curve_Comp_x005f_x005f_x005f_x0000__x00523"/>
      <sheetName val="[Curve_Comp_x005f_x005f_x005f_x0000__x00523"/>
      <sheetName val="Données_LMU23"/>
      <sheetName val="Total_CDD23"/>
      <sheetName val="total_list23"/>
      <sheetName val="Curve%20Comparisons_xls22"/>
      <sheetName val="LISTA_SUSPENSA22"/>
      <sheetName val="Directrices_de_Metas_201722"/>
      <sheetName val="_Curve_Comp_x005f_x0000__21"/>
      <sheetName val="Base_de_datos21"/>
      <sheetName val="TOP_KPIs_MTM21"/>
      <sheetName val="Data_Validation20"/>
      <sheetName val="PLAN_DE_ACCION20"/>
      <sheetName val="drop_down_menu20"/>
      <sheetName val="Graf_Planeadores20"/>
      <sheetName val="Plan_de_Acción20"/>
      <sheetName val="DROP_20"/>
      <sheetName val="01_2_valor_da_up20"/>
      <sheetName val="LSS_pivot19"/>
      <sheetName val="Value_lists19"/>
      <sheetName val="2RF98_(Mkt_9%)19"/>
      <sheetName val="Share_Price_200219"/>
      <sheetName val="Tela_Inicial19"/>
      <sheetName val="Cálculo_TMEF-TMR19"/>
      <sheetName val="TMEF_-_TMR_13119"/>
      <sheetName val="TMEF_-_TMR_15119"/>
      <sheetName val="[Curve_Comp_x005f_x0000__19"/>
      <sheetName val="Load_Data19"/>
      <sheetName val="Data_Input_Sheet19"/>
      <sheetName val="RG_Depots18"/>
      <sheetName val="Check_List-_Gerrot18"/>
      <sheetName val="estagios_e_blocos18"/>
      <sheetName val="Variaveis_Gerais18"/>
      <sheetName val="Disp_200418"/>
      <sheetName val="GEPEG_-_Volume_Mfe_+_Pelotas18"/>
      <sheetName val="LEGAL_GUJ18"/>
      <sheetName val="_Curve_Comp_x005f_x005f_x005f_x005f_x005f18"/>
      <sheetName val="[Curve_Comp_x005f_x005f_x005f_x005f_x005f18"/>
      <sheetName val="Cover_page18"/>
      <sheetName val="Estrutura_Organizacional18"/>
      <sheetName val="1_DN_Coordenação18"/>
      <sheetName val="1_1_Matriz_Criticidade_Coord18"/>
      <sheetName val="2_DN_Gerência18"/>
      <sheetName val="2_1_Matriz_criticidade_Ger__18"/>
      <sheetName val="1__NASA18"/>
      <sheetName val="2_1_Matriz_criticidade_MP18"/>
      <sheetName val="dep_pre19"/>
      <sheetName val="INGRESO_(2)18"/>
      <sheetName val="No_Tocar18"/>
      <sheetName val="Cost_Sheet17"/>
      <sheetName val="Cost_Leadership_Capex_Inv_17"/>
      <sheetName val="Cost_Leadership_Capex_Div_17"/>
      <sheetName val="BASE_DE_DADOS17"/>
      <sheetName val="chiet_tinh17"/>
      <sheetName val="Bajada_Cognos17"/>
      <sheetName val="Business_Description_BLOCK17"/>
      <sheetName val="1__Descripción_del_Negocio17"/>
      <sheetName val="2__M_Criticidad_Prod_o_Proces17"/>
      <sheetName val="3__Mapa_de_Proceso17"/>
      <sheetName val="4__M_Criticidad_Procesos17"/>
      <sheetName val="Process_Mapping_BLOCK17"/>
      <sheetName val="5__Tarea_1_Produccion_Despa17"/>
      <sheetName val="5__Tarea_2___cambio_de_formIB17"/>
      <sheetName val="5__Tarea_3__Producción_IBV17"/>
      <sheetName val="5__Tarea_4_Cambio_format_llen17"/>
      <sheetName val="5__Tarea_5__Arranque_Llenador17"/>
      <sheetName val="5__Tarea_6__Cambio_formato_et17"/>
      <sheetName val="5__Tarea_7__Produccion_1etiqu17"/>
      <sheetName val="5__Tarea_8_Producc_2_etiquet17"/>
      <sheetName val="5__Tarea_9_Producc__IBLL17"/>
      <sheetName val="5__Tarea_10_Produccion_Pale17"/>
      <sheetName val="1_1_Acuerdo_de_Nivel_de_Servi17"/>
      <sheetName val="escen99_(2)17"/>
      <sheetName val="Planificador_Liga17"/>
      <sheetName val="Base_Única_Final_-_Preencher17"/>
      <sheetName val="Instruções_Preenchimento17"/>
      <sheetName val="Base_para_criticar17"/>
      <sheetName val="_Curve_Comp??_x000017"/>
      <sheetName val="Conv__Debt17"/>
      <sheetName val="Conv__Pref_17"/>
      <sheetName val="Shares_Outstanding17"/>
      <sheetName val="Firm_Value17"/>
      <sheetName val="Data_Input17"/>
      <sheetName val="SCF_-_BS17"/>
      <sheetName val="General_Downloads17"/>
      <sheetName val="TABELA_DE_PREÇOS16"/>
      <sheetName val="Hl_Acum14"/>
      <sheetName val="IS_BS_actual14"/>
      <sheetName val="Agosto_(2)14"/>
      <sheetName val="Resumen_General16"/>
      <sheetName val="CRITICIDAD_DE_CI16"/>
      <sheetName val="Cátalogo_de_CI16"/>
      <sheetName val="PLAN_DE_ACCION_Mayo16"/>
      <sheetName val="Catálogo_de_CI16"/>
      <sheetName val="Controls_data16"/>
      <sheetName val="12월_판매(권역)16"/>
      <sheetName val="7월예산(지점)_(2)16"/>
      <sheetName val="kpi(7월_Activity)16"/>
      <sheetName val="_7월LE_및_재고16"/>
      <sheetName val="_8월재고16"/>
      <sheetName val="_8월재고_(2)16"/>
      <sheetName val="Operation_Target(중앙)16"/>
      <sheetName val="Bud_여행Program16"/>
      <sheetName val="월마감_예상16"/>
      <sheetName val="HE_JBP16"/>
      <sheetName val="HE생_확산계획16"/>
      <sheetName val="대신_대은16"/>
      <sheetName val="AR_Issue16"/>
      <sheetName val="risk_MS16"/>
      <sheetName val="risk_Vol16"/>
      <sheetName val="유류대_현황15"/>
      <sheetName val="_Curve_Comp___x000015"/>
      <sheetName val="_Curve_Comp_x005f_x005f_x16"/>
      <sheetName val="김형선_15"/>
      <sheetName val="차량운행일지_요일테이블_업뎃_완료15"/>
      <sheetName val="[Curve_Comp_x005f_x005f_x15"/>
      <sheetName val="FJJX_Bud_IB12"/>
      <sheetName val="Estructura_SAP12"/>
      <sheetName val="Factor_8_Oz12"/>
      <sheetName val="control_sheet12"/>
      <sheetName val="Input_sheet12"/>
      <sheetName val="TM1_SETTINGS11"/>
      <sheetName val="Target_Book10"/>
      <sheetName val="Balances_al_30_06_201910"/>
      <sheetName val="Integração_-_Earned_Value11"/>
      <sheetName val="VICTEL_($R)11"/>
      <sheetName val="BC_-_Main_model11"/>
      <sheetName val="BEAT_10"/>
      <sheetName val="CIEL_PURIFICADA_10"/>
      <sheetName val="DISNEY_10"/>
      <sheetName val="FANTA_10"/>
      <sheetName val="FRESCA_10"/>
      <sheetName val="COCA-COLA_EXPORT10"/>
      <sheetName val="COCA-COLA_LIGHT_10"/>
      <sheetName val="LIFT_10"/>
      <sheetName val="NESTEA_10"/>
      <sheetName val="POWERADE_10"/>
      <sheetName val="SENZAO_10"/>
      <sheetName val="BBTS_USADOS10"/>
      <sheetName val="ANALISE_DO_LOSS10"/>
      <sheetName val="_Curve_Comp_x14"/>
      <sheetName val="[Curve_Comp_x13"/>
      <sheetName val="BF_Database9"/>
      <sheetName val="BF_PL319"/>
      <sheetName val="Administrative_Information9"/>
      <sheetName val="Appendix_69"/>
      <sheetName val="Anexo_B9"/>
      <sheetName val="POCM_배송지9"/>
      <sheetName val="Brix_Xarope_BC9"/>
      <sheetName val="_Consid9"/>
      <sheetName val="_Relatório9"/>
      <sheetName val="_Resumo9"/>
      <sheetName val="Turno_Manhã_9"/>
      <sheetName val="Turno_Tarde9"/>
      <sheetName val="Turno_Noite9"/>
      <sheetName val="Form_9"/>
      <sheetName val="Class_9"/>
      <sheetName val="9_19"/>
      <sheetName val="Outubro_20188"/>
      <sheetName val="Interdependent_COUNTRY8"/>
      <sheetName val="Interdependent_CAT8"/>
      <sheetName val="Other_Listings8"/>
      <sheetName val="Lookup_Collab__model8"/>
      <sheetName val="Sig_Cycles_Accts_&amp;_Proceses11"/>
      <sheetName val="Chart_data2"/>
      <sheetName val="Dados_BLP1"/>
      <sheetName val="Resumen_Costo"/>
      <sheetName val="Beg Balance JE"/>
      <sheetName val="SalesOrg"/>
      <sheetName val="calcs"/>
      <sheetName val="drop_down_list6"/>
      <sheetName val="Financ__Overview6"/>
      <sheetName val="AOP-JUNE_FCST4"/>
      <sheetName val="SALDO_BAC4"/>
      <sheetName val="BDM_12+128"/>
      <sheetName val="BDM_2+10_8"/>
      <sheetName val="Inbound_transport_costs8"/>
      <sheetName val="crediti_nuovi_clienti8"/>
      <sheetName val="Netta_con_mix8"/>
      <sheetName val="Netta_con_mix_e_cauzioni8"/>
      <sheetName val="KEg_deposits8"/>
      <sheetName val="Kegs_and_beer8"/>
      <sheetName val="Vols,_GSV8"/>
      <sheetName val="x_new5"/>
      <sheetName val="GRAPH_DATA3"/>
      <sheetName val="19-A"/>
      <sheetName val="IPC"/>
      <sheetName val="Pub Rel"/>
      <sheetName val="Anex 17"/>
      <sheetName val="Nominales 19"/>
      <sheetName val="AREAINDEX"/>
      <sheetName val="CUENTAS POR COBRAR NO COMERCIAL"/>
      <sheetName val="Bal.Comp."/>
      <sheetName val=" AF 2005"/>
      <sheetName val="Overview"/>
      <sheetName val="Drop Down"/>
      <sheetName val="Arg AGING"/>
      <sheetName val="SM + 12 meses"/>
      <sheetName val="SM NFG + 3 meses"/>
      <sheetName val="Structure"/>
      <sheetName val="GEPEG_-_Volume_Mfe_+_Pelo_x0000_as9"/>
      <sheetName val="BARCELONA"/>
      <sheetName val="Carupano"/>
      <sheetName val="CARACAS"/>
      <sheetName val="CUMANA"/>
      <sheetName val="LARA"/>
      <sheetName val="PORLAMAR"/>
      <sheetName val="SAP info"/>
      <sheetName val="BBTS_USADOS11"/>
      <sheetName val="ANALISE_DO_LOSS11"/>
      <sheetName val="drop_down_list7"/>
      <sheetName val="Financ__Overview7"/>
      <sheetName val="AOP-JUNE_FCST5"/>
      <sheetName val="SALDO_BAC5"/>
      <sheetName val="BDM_12+129"/>
      <sheetName val="BDM_2+10_9"/>
      <sheetName val="Inbound_transport_costs9"/>
      <sheetName val="crediti_nuovi_clienti9"/>
      <sheetName val="Netta_con_mix9"/>
      <sheetName val="Netta_con_mix_e_cauzioni9"/>
      <sheetName val="KEg_deposits9"/>
      <sheetName val="Kegs_and_beer9"/>
      <sheetName val="Vols,_GSV9"/>
      <sheetName val="x_new6"/>
      <sheetName val="GRAPH_DATA4"/>
      <sheetName val="Chart_data3"/>
      <sheetName val="[Curve CompBrazil S"/>
      <sheetName val="_Curve Comp_x0000"/>
      <sheetName val="[Curve Comp_x0000"/>
      <sheetName val="_Curve Comp_"/>
      <sheetName val="[Curve Comp_"/>
      <sheetName val="Yield_Curve29"/>
      <sheetName val="Yield_Curve_(2)29"/>
      <sheetName val="Brazil_Sovereign29"/>
      <sheetName val="Brazil_Swap29"/>
      <sheetName val="Price_(2)29"/>
      <sheetName val="Dados_Cash29"/>
      <sheetName val="PackAppear__(2)28"/>
      <sheetName val="Resu_Capex28"/>
      <sheetName val="Efic_Consumo28"/>
      <sheetName val="OOO_(2)28"/>
      <sheetName val="PackAppear_28"/>
      <sheetName val="PQCM_(2)28"/>
      <sheetName val="PQRM_(2)28"/>
      <sheetName val="Res_Executivo28"/>
      <sheetName val="2001_10_Cerv28"/>
      <sheetName val="PLAN_SAC_Cerveja28"/>
      <sheetName val="PLAN_SAC_RefrigeNanc28"/>
      <sheetName val="2001_04_Cerv28"/>
      <sheetName val="Farol_SAC_Cerveja28"/>
      <sheetName val="2001_04_Nanc28"/>
      <sheetName val="Farol_SAC_Refrigenanc28"/>
      <sheetName val="Sig_Cycles_Accts_&amp;_Processes28"/>
      <sheetName val="Calc_128"/>
      <sheetName val="_Curve_Comp25"/>
      <sheetName val="WF_China_YTD26"/>
      <sheetName val="Curve_Comparisons26"/>
      <sheetName val="Riscos-Oport_26"/>
      <sheetName val="Relatório_SDG25"/>
      <sheetName val="기간별_판매진척26"/>
      <sheetName val="요일_테이블26"/>
      <sheetName val="LBO_Model25"/>
      <sheetName val="EI_Calc25"/>
      <sheetName val="[Curve_Comp????????????Brazil25"/>
      <sheetName val="Balance_Fin_ajust_200425"/>
      <sheetName val="DATOS_PARA_INTERPOLACION25"/>
      <sheetName val="DPN_VALUE25"/>
      <sheetName val="Tabla_de_amortización25"/>
      <sheetName val="Coleta_dados24"/>
      <sheetName val="IV_Confiabilidade24"/>
      <sheetName val="IV_Indisponibilidade24"/>
      <sheetName val="Check_R__Diária24"/>
      <sheetName val="Histórico_Check_R__Diária24"/>
      <sheetName val="[Curve_Comp_x005f_x0000__x005f_x0000__x0024"/>
      <sheetName val="_Curve_Comp_x005f_x0000__x005f_x0000__x0024"/>
      <sheetName val="_Curve_Comp____________Brazil24"/>
      <sheetName val="Comparativo_99X0024"/>
      <sheetName val="Tabela_de_Parâmetros24"/>
      <sheetName val="Versao_1b_($=R$2,13)24"/>
      <sheetName val="[Curve_Comp24"/>
      <sheetName val="2_주요계수총괄24"/>
      <sheetName val="Pg_124"/>
      <sheetName val="Vol-Mix_x_Seg_AN24"/>
      <sheetName val="Fechamento_Mês24"/>
      <sheetName val="Fechamento_Diário24"/>
      <sheetName val="High_Light24"/>
      <sheetName val="%_Dispersão24"/>
      <sheetName val="%_Reprovação24"/>
      <sheetName val="%_Caco_Limpo_Unid_24"/>
      <sheetName val="Limpeza_de_Flint24"/>
      <sheetName val="Recb__Coop_24"/>
      <sheetName val="Recb__Flint24"/>
      <sheetName val="Apoio_Material24"/>
      <sheetName val="Apoio_transp_24"/>
      <sheetName val="5_124"/>
      <sheetName val="INVESTMENTS_EUR24"/>
      <sheetName val="DIVESTMENTS_EUR24"/>
      <sheetName val="Price_DB24"/>
      <sheetName val="_Curve_Comp_x005f_x005f_x005f_x0000__x00524"/>
      <sheetName val="[Curve_Comp_x005f_x005f_x005f_x0000__x00524"/>
      <sheetName val="Données_LMU24"/>
      <sheetName val="total_list24"/>
      <sheetName val="Total_CDD24"/>
      <sheetName val="Curve%20Comparisons_xls23"/>
      <sheetName val="Base_de_datos22"/>
      <sheetName val="TOP_KPIs_MTM22"/>
      <sheetName val="Directrices_de_Metas_201723"/>
      <sheetName val="LISTA_SUSPENSA23"/>
      <sheetName val="Data_Validation21"/>
      <sheetName val="_Curve_Comp_x005f_x0000__22"/>
      <sheetName val="PLAN_DE_ACCION21"/>
      <sheetName val="drop_down_menu21"/>
      <sheetName val="Graf_Planeadores21"/>
      <sheetName val="DROP_21"/>
      <sheetName val="Plan_de_Acción21"/>
      <sheetName val="01_2_valor_da_up21"/>
      <sheetName val="LSS_pivot20"/>
      <sheetName val="Value_lists20"/>
      <sheetName val="Share_Price_200220"/>
      <sheetName val="Load_Data20"/>
      <sheetName val="Tela_Inicial20"/>
      <sheetName val="Cálculo_TMEF-TMR20"/>
      <sheetName val="TMEF_-_TMR_13120"/>
      <sheetName val="TMEF_-_TMR_15120"/>
      <sheetName val="2RF98_(Mkt_9%)20"/>
      <sheetName val="Data_Input_Sheet20"/>
      <sheetName val="No_Tocar19"/>
      <sheetName val="INGRESO_(2)19"/>
      <sheetName val="[Curve_Comp_x005f_x0000__20"/>
      <sheetName val="LEGAL_GUJ19"/>
      <sheetName val="_Curve_Comp_x005f_x005f_x005f_x005f_x005f19"/>
      <sheetName val="[Curve_Comp_x005f_x005f_x005f_x005f_x005f19"/>
      <sheetName val="RG_Depots19"/>
      <sheetName val="dep_pre20"/>
      <sheetName val="Cover_page19"/>
      <sheetName val="Estrutura_Organizacional19"/>
      <sheetName val="1_DN_Coordenação19"/>
      <sheetName val="1_1_Matriz_Criticidade_Coord19"/>
      <sheetName val="2_DN_Gerência19"/>
      <sheetName val="2_1_Matriz_criticidade_Ger__19"/>
      <sheetName val="1__NASA19"/>
      <sheetName val="2_1_Matriz_criticidade_MP19"/>
      <sheetName val="Check_List-_Gerrot19"/>
      <sheetName val="estagios_e_blocos19"/>
      <sheetName val="Variaveis_Gerais19"/>
      <sheetName val="Disp_200419"/>
      <sheetName val="GEPEG_-_Volume_Mfe_+_Pelotas19"/>
      <sheetName val="Cost_Sheet18"/>
      <sheetName val="Cost_Leadership_Capex_Inv_18"/>
      <sheetName val="Cost_Leadership_Capex_Div_18"/>
      <sheetName val="chiet_tinh18"/>
      <sheetName val="Business_Description_BLOCK18"/>
      <sheetName val="1__Descripción_del_Negocio18"/>
      <sheetName val="2__M_Criticidad_Prod_o_Proces18"/>
      <sheetName val="3__Mapa_de_Proceso18"/>
      <sheetName val="4__M_Criticidad_Procesos18"/>
      <sheetName val="Process_Mapping_BLOCK18"/>
      <sheetName val="5__Tarea_1_Produccion_Despa18"/>
      <sheetName val="5__Tarea_2___cambio_de_formIB18"/>
      <sheetName val="5__Tarea_3__Producción_IBV18"/>
      <sheetName val="5__Tarea_4_Cambio_format_llen18"/>
      <sheetName val="5__Tarea_5__Arranque_Llenador18"/>
      <sheetName val="5__Tarea_6__Cambio_formato_et18"/>
      <sheetName val="5__Tarea_7__Produccion_1etiqu18"/>
      <sheetName val="5__Tarea_8_Producc_2_etiquet18"/>
      <sheetName val="5__Tarea_9_Producc__IBLL18"/>
      <sheetName val="5__Tarea_10_Produccion_Pale18"/>
      <sheetName val="1_1_Acuerdo_de_Nivel_de_Servi18"/>
      <sheetName val="Resumen_General17"/>
      <sheetName val="CRITICIDAD_DE_CI17"/>
      <sheetName val="Cátalogo_de_CI17"/>
      <sheetName val="PLAN_DE_ACCION_Mayo17"/>
      <sheetName val="Catálogo_de_CI17"/>
      <sheetName val="Conv__Debt18"/>
      <sheetName val="Conv__Pref_18"/>
      <sheetName val="Shares_Outstanding18"/>
      <sheetName val="Firm_Value18"/>
      <sheetName val="Data_Input18"/>
      <sheetName val="SCF_-_BS18"/>
      <sheetName val="Bajada_Cognos18"/>
      <sheetName val="BASE_DE_DADOS18"/>
      <sheetName val="escen99_(2)18"/>
      <sheetName val="Planificador_Liga18"/>
      <sheetName val="Base_Única_Final_-_Preencher18"/>
      <sheetName val="Instruções_Preenchimento18"/>
      <sheetName val="Base_para_criticar18"/>
      <sheetName val="_Curve_Comp??_x000018"/>
      <sheetName val="General_Downloads18"/>
      <sheetName val="Controls_data17"/>
      <sheetName val="12월_판매(권역)17"/>
      <sheetName val="7월예산(지점)_(2)17"/>
      <sheetName val="kpi(7월_Activity)17"/>
      <sheetName val="_7월LE_및_재고17"/>
      <sheetName val="_8월재고17"/>
      <sheetName val="_8월재고_(2)17"/>
      <sheetName val="Operation_Target(중앙)17"/>
      <sheetName val="Bud_여행Program17"/>
      <sheetName val="월마감_예상17"/>
      <sheetName val="HE_JBP17"/>
      <sheetName val="HE생_확산계획17"/>
      <sheetName val="대신_대은17"/>
      <sheetName val="AR_Issue17"/>
      <sheetName val="risk_MS17"/>
      <sheetName val="risk_Vol17"/>
      <sheetName val="TABELA_DE_PREÇOS17"/>
      <sheetName val="_Curve_Comp___x000016"/>
      <sheetName val="_Curve_Comp_x005f_x005f_x17"/>
      <sheetName val="유류대_현황16"/>
      <sheetName val="IS_BS_actual15"/>
      <sheetName val="Agosto_(2)15"/>
      <sheetName val="Hl_Acum15"/>
      <sheetName val="김형선_16"/>
      <sheetName val="차량운행일지_요일테이블_업뎃_완료16"/>
      <sheetName val="[Curve_Comp_x005f_x005f_x16"/>
      <sheetName val="FJJX_Bud_IB13"/>
      <sheetName val="BBTS_USADOS12"/>
      <sheetName val="ANALISE_DO_LOSS12"/>
      <sheetName val="Target_Book11"/>
      <sheetName val="TM1_SETTINGS12"/>
      <sheetName val="Estructura_SAP13"/>
      <sheetName val="Factor_8_Oz13"/>
      <sheetName val="control_sheet13"/>
      <sheetName val="Input_sheet13"/>
      <sheetName val="Integração_-_Earned_Value12"/>
      <sheetName val="VICTEL_($R)12"/>
      <sheetName val="BC_-_Main_model12"/>
      <sheetName val="BEAT_11"/>
      <sheetName val="CIEL_PURIFICADA_11"/>
      <sheetName val="DISNEY_11"/>
      <sheetName val="FANTA_11"/>
      <sheetName val="FRESCA_11"/>
      <sheetName val="COCA-COLA_EXPORT11"/>
      <sheetName val="COCA-COLA_LIGHT_11"/>
      <sheetName val="LIFT_11"/>
      <sheetName val="NESTEA_11"/>
      <sheetName val="POWERADE_11"/>
      <sheetName val="SENZAO_11"/>
      <sheetName val="_Curve_Comp_x15"/>
      <sheetName val="[Curve_Comp_x14"/>
      <sheetName val="Balances_al_30_06_201911"/>
      <sheetName val="Passo 1 - Mapa de Processos"/>
      <sheetName val="VIC VLC"/>
      <sheetName val="SAP品牌"/>
      <sheetName val="MMR12"/>
      <sheetName val="Scoping"/>
      <sheetName val="Toolbox"/>
      <sheetName val="COTAÇÕES"/>
      <sheetName val="订单明细"/>
      <sheetName val="架构"/>
      <sheetName val="Target Rejection"/>
      <sheetName val="Package_Subpack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 refreshError="1"/>
      <sheetData sheetId="969" refreshError="1"/>
      <sheetData sheetId="970" refreshError="1"/>
      <sheetData sheetId="971" refreshError="1"/>
      <sheetData sheetId="972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 refreshError="1"/>
      <sheetData sheetId="1175" refreshError="1"/>
      <sheetData sheetId="1176"/>
      <sheetData sheetId="1177"/>
      <sheetData sheetId="1178"/>
      <sheetData sheetId="1179"/>
      <sheetData sheetId="1180"/>
      <sheetData sheetId="1181"/>
      <sheetData sheetId="1182" refreshError="1"/>
      <sheetData sheetId="1183" refreshError="1"/>
      <sheetData sheetId="1184" refreshError="1"/>
      <sheetData sheetId="1185" refreshError="1"/>
      <sheetData sheetId="1186"/>
      <sheetData sheetId="1187"/>
      <sheetData sheetId="1188"/>
      <sheetData sheetId="1189"/>
      <sheetData sheetId="1190"/>
      <sheetData sheetId="1191" refreshError="1"/>
      <sheetData sheetId="1192" refreshError="1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 refreshError="1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 refreshError="1"/>
      <sheetData sheetId="2054" refreshError="1"/>
      <sheetData sheetId="2055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 refreshError="1"/>
      <sheetData sheetId="2328" refreshError="1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 refreshError="1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 refreshError="1"/>
      <sheetData sheetId="2366" refreshError="1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 refreshError="1"/>
      <sheetData sheetId="2778" refreshError="1"/>
      <sheetData sheetId="2779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 refreshError="1"/>
      <sheetData sheetId="3032" refreshError="1"/>
      <sheetData sheetId="3033"/>
      <sheetData sheetId="3034"/>
      <sheetData sheetId="3035"/>
      <sheetData sheetId="3036"/>
      <sheetData sheetId="3037"/>
      <sheetData sheetId="3038"/>
      <sheetData sheetId="3039" refreshError="1"/>
      <sheetData sheetId="3040" refreshError="1"/>
      <sheetData sheetId="3041"/>
      <sheetData sheetId="3042"/>
      <sheetData sheetId="3043"/>
      <sheetData sheetId="3044"/>
      <sheetData sheetId="3045"/>
      <sheetData sheetId="3046"/>
      <sheetData sheetId="3047" refreshError="1"/>
      <sheetData sheetId="3048" refreshError="1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 refreshError="1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 refreshError="1"/>
      <sheetData sheetId="3562" refreshError="1"/>
      <sheetData sheetId="3563" refreshError="1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 refreshError="1"/>
      <sheetData sheetId="4560" refreshError="1"/>
      <sheetData sheetId="4561" refreshError="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 refreshError="1"/>
      <sheetData sheetId="5063" refreshError="1"/>
      <sheetData sheetId="5064" refreshError="1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/>
      <sheetData sheetId="5199"/>
      <sheetData sheetId="5200"/>
      <sheetData sheetId="5201"/>
      <sheetData sheetId="5202"/>
      <sheetData sheetId="5203"/>
      <sheetData sheetId="5204"/>
      <sheetData sheetId="5205"/>
      <sheetData sheetId="5206"/>
      <sheetData sheetId="5207"/>
      <sheetData sheetId="5208"/>
      <sheetData sheetId="5209"/>
      <sheetData sheetId="5210"/>
      <sheetData sheetId="5211"/>
      <sheetData sheetId="5212"/>
      <sheetData sheetId="5213"/>
      <sheetData sheetId="5214"/>
      <sheetData sheetId="5215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/>
      <sheetData sheetId="5225"/>
      <sheetData sheetId="5226"/>
      <sheetData sheetId="5227"/>
      <sheetData sheetId="5228"/>
      <sheetData sheetId="5229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/>
      <sheetData sheetId="5250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/>
      <sheetData sheetId="5261"/>
      <sheetData sheetId="5262"/>
      <sheetData sheetId="5263"/>
      <sheetData sheetId="5264"/>
      <sheetData sheetId="5265"/>
      <sheetData sheetId="5266"/>
      <sheetData sheetId="5267"/>
      <sheetData sheetId="5268"/>
      <sheetData sheetId="5269"/>
      <sheetData sheetId="5270"/>
      <sheetData sheetId="5271"/>
      <sheetData sheetId="5272"/>
      <sheetData sheetId="5273"/>
      <sheetData sheetId="5274"/>
      <sheetData sheetId="5275"/>
      <sheetData sheetId="5276"/>
      <sheetData sheetId="5277"/>
      <sheetData sheetId="5278"/>
      <sheetData sheetId="5279"/>
      <sheetData sheetId="5280"/>
      <sheetData sheetId="5281"/>
      <sheetData sheetId="5282"/>
      <sheetData sheetId="5283"/>
      <sheetData sheetId="5284"/>
      <sheetData sheetId="5285"/>
      <sheetData sheetId="5286"/>
      <sheetData sheetId="5287"/>
      <sheetData sheetId="5288"/>
      <sheetData sheetId="5289"/>
      <sheetData sheetId="5290"/>
      <sheetData sheetId="5291"/>
      <sheetData sheetId="5292"/>
      <sheetData sheetId="5293"/>
      <sheetData sheetId="5294"/>
      <sheetData sheetId="5295"/>
      <sheetData sheetId="5296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/>
      <sheetData sheetId="5365"/>
      <sheetData sheetId="5366"/>
      <sheetData sheetId="5367"/>
      <sheetData sheetId="5368"/>
      <sheetData sheetId="5369"/>
      <sheetData sheetId="5370"/>
      <sheetData sheetId="5371"/>
      <sheetData sheetId="5372"/>
      <sheetData sheetId="5373"/>
      <sheetData sheetId="5374"/>
      <sheetData sheetId="5375"/>
      <sheetData sheetId="5376"/>
      <sheetData sheetId="5377"/>
      <sheetData sheetId="5378"/>
      <sheetData sheetId="5379"/>
      <sheetData sheetId="5380"/>
      <sheetData sheetId="5381"/>
      <sheetData sheetId="5382"/>
      <sheetData sheetId="5383"/>
      <sheetData sheetId="5384"/>
      <sheetData sheetId="5385"/>
      <sheetData sheetId="5386"/>
      <sheetData sheetId="5387"/>
      <sheetData sheetId="5388"/>
      <sheetData sheetId="5389"/>
      <sheetData sheetId="5390"/>
      <sheetData sheetId="5391"/>
      <sheetData sheetId="5392"/>
      <sheetData sheetId="5393"/>
      <sheetData sheetId="5394"/>
      <sheetData sheetId="5395"/>
      <sheetData sheetId="5396"/>
      <sheetData sheetId="5397"/>
      <sheetData sheetId="5398"/>
      <sheetData sheetId="5399"/>
      <sheetData sheetId="5400"/>
      <sheetData sheetId="5401"/>
      <sheetData sheetId="5402"/>
      <sheetData sheetId="5403"/>
      <sheetData sheetId="5404"/>
      <sheetData sheetId="5405"/>
      <sheetData sheetId="5406"/>
      <sheetData sheetId="5407"/>
      <sheetData sheetId="5408"/>
      <sheetData sheetId="5409"/>
      <sheetData sheetId="5410"/>
      <sheetData sheetId="5411"/>
      <sheetData sheetId="5412"/>
      <sheetData sheetId="5413"/>
      <sheetData sheetId="5414"/>
      <sheetData sheetId="5415"/>
      <sheetData sheetId="5416"/>
      <sheetData sheetId="5417"/>
      <sheetData sheetId="5418"/>
      <sheetData sheetId="5419"/>
      <sheetData sheetId="5420"/>
      <sheetData sheetId="5421"/>
      <sheetData sheetId="5422"/>
      <sheetData sheetId="5423"/>
      <sheetData sheetId="5424"/>
      <sheetData sheetId="5425"/>
      <sheetData sheetId="5426"/>
      <sheetData sheetId="5427"/>
      <sheetData sheetId="5428"/>
      <sheetData sheetId="5429"/>
      <sheetData sheetId="5430"/>
      <sheetData sheetId="5431"/>
      <sheetData sheetId="5432"/>
      <sheetData sheetId="5433"/>
      <sheetData sheetId="5434"/>
      <sheetData sheetId="5435"/>
      <sheetData sheetId="5436"/>
      <sheetData sheetId="5437"/>
      <sheetData sheetId="5438"/>
      <sheetData sheetId="5439"/>
      <sheetData sheetId="5440"/>
      <sheetData sheetId="5441"/>
      <sheetData sheetId="5442"/>
      <sheetData sheetId="5443"/>
      <sheetData sheetId="5444"/>
      <sheetData sheetId="5445"/>
      <sheetData sheetId="5446"/>
      <sheetData sheetId="5447"/>
      <sheetData sheetId="5448"/>
      <sheetData sheetId="5449"/>
      <sheetData sheetId="5450"/>
      <sheetData sheetId="5451"/>
      <sheetData sheetId="5452"/>
      <sheetData sheetId="5453"/>
      <sheetData sheetId="5454"/>
      <sheetData sheetId="5455"/>
      <sheetData sheetId="5456"/>
      <sheetData sheetId="5457"/>
      <sheetData sheetId="5458"/>
      <sheetData sheetId="5459"/>
      <sheetData sheetId="5460"/>
      <sheetData sheetId="5461"/>
      <sheetData sheetId="5462"/>
      <sheetData sheetId="5463"/>
      <sheetData sheetId="5464"/>
      <sheetData sheetId="5465"/>
      <sheetData sheetId="5466"/>
      <sheetData sheetId="5467"/>
      <sheetData sheetId="5468"/>
      <sheetData sheetId="5469"/>
      <sheetData sheetId="5470"/>
      <sheetData sheetId="5471"/>
      <sheetData sheetId="5472"/>
      <sheetData sheetId="5473"/>
      <sheetData sheetId="5474"/>
      <sheetData sheetId="5475"/>
      <sheetData sheetId="5476"/>
      <sheetData sheetId="5477"/>
      <sheetData sheetId="5478"/>
      <sheetData sheetId="5479"/>
      <sheetData sheetId="5480"/>
      <sheetData sheetId="5481"/>
      <sheetData sheetId="5482"/>
      <sheetData sheetId="5483"/>
      <sheetData sheetId="5484"/>
      <sheetData sheetId="5485"/>
      <sheetData sheetId="5486"/>
      <sheetData sheetId="5487"/>
      <sheetData sheetId="5488"/>
      <sheetData sheetId="5489"/>
      <sheetData sheetId="5490"/>
      <sheetData sheetId="5491"/>
      <sheetData sheetId="5492"/>
      <sheetData sheetId="5493"/>
      <sheetData sheetId="5494"/>
      <sheetData sheetId="5495"/>
      <sheetData sheetId="5496"/>
      <sheetData sheetId="5497"/>
      <sheetData sheetId="5498"/>
      <sheetData sheetId="5499"/>
      <sheetData sheetId="5500"/>
      <sheetData sheetId="5501"/>
      <sheetData sheetId="5502"/>
      <sheetData sheetId="5503"/>
      <sheetData sheetId="5504"/>
      <sheetData sheetId="5505"/>
      <sheetData sheetId="5506"/>
      <sheetData sheetId="5507"/>
      <sheetData sheetId="5508"/>
      <sheetData sheetId="5509"/>
      <sheetData sheetId="5510"/>
      <sheetData sheetId="5511"/>
      <sheetData sheetId="5512"/>
      <sheetData sheetId="5513"/>
      <sheetData sheetId="5514"/>
      <sheetData sheetId="5515"/>
      <sheetData sheetId="5516"/>
      <sheetData sheetId="5517"/>
      <sheetData sheetId="5518"/>
      <sheetData sheetId="5519"/>
      <sheetData sheetId="5520"/>
      <sheetData sheetId="5521"/>
      <sheetData sheetId="5522"/>
      <sheetData sheetId="5523"/>
      <sheetData sheetId="5524"/>
      <sheetData sheetId="5525"/>
      <sheetData sheetId="5526"/>
      <sheetData sheetId="5527"/>
      <sheetData sheetId="5528"/>
      <sheetData sheetId="5529"/>
      <sheetData sheetId="5530"/>
      <sheetData sheetId="5531"/>
      <sheetData sheetId="5532"/>
      <sheetData sheetId="5533"/>
      <sheetData sheetId="5534"/>
      <sheetData sheetId="5535"/>
      <sheetData sheetId="5536"/>
      <sheetData sheetId="5537"/>
      <sheetData sheetId="5538"/>
      <sheetData sheetId="5539"/>
      <sheetData sheetId="5540"/>
      <sheetData sheetId="5541"/>
      <sheetData sheetId="5542"/>
      <sheetData sheetId="5543"/>
      <sheetData sheetId="5544"/>
      <sheetData sheetId="5545"/>
      <sheetData sheetId="5546"/>
      <sheetData sheetId="5547"/>
      <sheetData sheetId="5548"/>
      <sheetData sheetId="5549"/>
      <sheetData sheetId="5550"/>
      <sheetData sheetId="5551"/>
      <sheetData sheetId="5552"/>
      <sheetData sheetId="5553"/>
      <sheetData sheetId="5554"/>
      <sheetData sheetId="5555"/>
      <sheetData sheetId="5556"/>
      <sheetData sheetId="5557"/>
      <sheetData sheetId="5558"/>
      <sheetData sheetId="5559"/>
      <sheetData sheetId="5560"/>
      <sheetData sheetId="5561"/>
      <sheetData sheetId="5562"/>
      <sheetData sheetId="5563"/>
      <sheetData sheetId="5564"/>
      <sheetData sheetId="5565"/>
      <sheetData sheetId="5566"/>
      <sheetData sheetId="5567"/>
      <sheetData sheetId="5568"/>
      <sheetData sheetId="5569"/>
      <sheetData sheetId="5570"/>
      <sheetData sheetId="5571"/>
      <sheetData sheetId="5572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/>
      <sheetData sheetId="5582"/>
      <sheetData sheetId="558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adores Econômicos"/>
      <sheetName val="Datas de Divulgação"/>
      <sheetName val="Indicadores Bloomberg"/>
      <sheetName val="BLP"/>
      <sheetName val="Estimativa  IP"/>
      <sheetName val="Tx Juros Efetivas"/>
      <sheetName val="Valor de Mercado"/>
      <sheetName val="Pop. Eco. At."/>
      <sheetName val="Brazil Sovereign"/>
      <sheetName val="Dados BLP"/>
      <sheetName val="MOL"/>
      <sheetName val="Indicadores_Econômicos"/>
      <sheetName val="Datas_de_Divulgação"/>
      <sheetName val="Indicadores_Bloomberg"/>
      <sheetName val="Estimativa__IP"/>
      <sheetName val="Tx_Juros_Efetivas"/>
      <sheetName val="Valor_de_Mercado"/>
      <sheetName val="Pop__Eco__At_"/>
      <sheetName val="Brazil_Sovereign"/>
      <sheetName val="Dados_BLP"/>
      <sheetName val="POA"/>
      <sheetName val="Indicadores_Econômicos1"/>
      <sheetName val="Datas_de_Divulgação1"/>
      <sheetName val="Indicadores_Bloomberg1"/>
      <sheetName val="Estimativa__IP1"/>
      <sheetName val="Tx_Juros_Efetivas1"/>
      <sheetName val="Valor_de_Mercado1"/>
      <sheetName val="Pop__Eco__At_1"/>
      <sheetName val="Brazil_Sovereign1"/>
      <sheetName val="Dados_BLP1"/>
      <sheetName val="Lists"/>
      <sheetName val="ProjectList"/>
      <sheetName val="Indicadores Economicos"/>
      <sheetName val="KF6"/>
      <sheetName val="Share Price 2002"/>
      <sheetName val="VOLUME CA"/>
      <sheetName val="De_Para"/>
      <sheetName val="Summary"/>
      <sheetName val="2001.10 Cerv"/>
      <sheetName val="PLAN SAC Cerveja"/>
      <sheetName val="PLAN SAC RefrigeNanc"/>
      <sheetName val="BaseCerv"/>
      <sheetName val="BaseNanc"/>
      <sheetName val="2001.04 Cerv"/>
      <sheetName val="Farol SAC Cerveja"/>
      <sheetName val="2001.04 Nanc"/>
      <sheetName val="Farol SAC Refrigenanc"/>
      <sheetName val="Gente_gestao"/>
      <sheetName val="CADASTRO"/>
      <sheetName val="TABELAS"/>
      <sheetName val="DIST"/>
      <sheetName val="MALHAD"/>
      <sheetName val="PUXADIA"/>
      <sheetName val="Base PEF"/>
      <sheetName val="MKT_Terr"/>
      <sheetName val="StartSheet"/>
      <sheetName val="Labatt Shares"/>
      <sheetName val="Sheet1"/>
      <sheetName val="Balance Fin ajust 2004"/>
      <sheetName val="Indicadores_Econômicos2"/>
      <sheetName val="Datas_de_Divulgação2"/>
      <sheetName val="Indicadores_Bloomberg2"/>
      <sheetName val="Estimativa__IP2"/>
      <sheetName val="Tx_Juros_Efetivas2"/>
      <sheetName val="Valor_de_Mercado2"/>
      <sheetName val="Pop__Eco__At_2"/>
      <sheetName val="Dados_BLP2"/>
      <sheetName val="Brazil_Sovereign2"/>
      <sheetName val="Indicadores_Economicos"/>
      <sheetName val="Share_Price_2002"/>
      <sheetName val="Dados_Prod"/>
      <sheetName val="Piraí"/>
      <sheetName val="CAD Month"/>
      <sheetName val="CAD YE"/>
      <sheetName val="US Month "/>
      <sheetName val="US Month - Crowns"/>
      <sheetName val="US YE - Crowns"/>
      <sheetName val="bud99"/>
      <sheetName val="Indicadores_Econômicos3"/>
      <sheetName val="Datas_de_Divulgação3"/>
      <sheetName val="Indicadores_Bloomberg3"/>
      <sheetName val="Estimativa__IP3"/>
      <sheetName val="Tx_Juros_Efetivas3"/>
      <sheetName val="Valor_de_Mercado3"/>
      <sheetName val="Pop__Eco__At_3"/>
      <sheetName val="Brazil_Sovereign3"/>
      <sheetName val="Dados_BLP3"/>
      <sheetName val="Share_Price_20021"/>
      <sheetName val="Indicadores_Economicos1"/>
      <sheetName val="VOLUME_CA"/>
      <sheetName val="2001_10_Cerv"/>
      <sheetName val="PLAN_SAC_Cerveja"/>
      <sheetName val="PLAN_SAC_RefrigeNanc"/>
      <sheetName val="2001_04_Cerv"/>
      <sheetName val="Farol_SAC_Cerveja"/>
      <sheetName val="2001_04_Nanc"/>
      <sheetName val="Farol_SAC_Refrigenanc"/>
      <sheetName val="Base_PEF"/>
      <sheetName val="Labatt_Shares"/>
      <sheetName val="Balance_Fin_ajust_2004"/>
      <sheetName val="CAD_Month"/>
      <sheetName val="CAD_YE"/>
      <sheetName val="US_Month_"/>
      <sheetName val="US_Month_-_Crowns"/>
      <sheetName val="US_YE_-_Crowns"/>
      <sheetName val="Distribution from BU"/>
      <sheetName val="Sig Cycles_Accts &amp; Processes"/>
      <sheetName val="Effects"/>
      <sheetName val="Lookups"/>
      <sheetName val="Critérios"/>
      <sheetName val="base bradesco"/>
      <sheetName val="Comparativo 99X00"/>
      <sheetName val="START"/>
      <sheetName val="PLAN DE ACCION"/>
      <sheetName val="Calc 1"/>
      <sheetName val="POCE"/>
      <sheetName val="Base da Datos"/>
      <sheetName val="Tablas"/>
      <sheetName val="Info"/>
      <sheetName val="5.1"/>
      <sheetName val="판매진척"/>
      <sheetName val="Peer10"/>
      <sheetName val="Peer11"/>
      <sheetName val="Peer12"/>
      <sheetName val="Peer13"/>
      <sheetName val="Peer14"/>
      <sheetName val="Peer15"/>
      <sheetName val="Peer16"/>
      <sheetName val="Peer17"/>
      <sheetName val="Peer18"/>
      <sheetName val="Peer19"/>
      <sheetName val="Peer20"/>
      <sheetName val="Peer9"/>
      <sheetName val="Følsomhedsanalyse"/>
      <sheetName val="Indicadores_Econômicos4"/>
      <sheetName val="Datas_de_Divulgação4"/>
      <sheetName val="Indicadores_Bloomberg4"/>
      <sheetName val="Estimativa__IP4"/>
      <sheetName val="Tx_Juros_Efetivas4"/>
      <sheetName val="Valor_de_Mercado4"/>
      <sheetName val="Pop__Eco__At_4"/>
      <sheetName val="Brazil_Sovereign4"/>
      <sheetName val="Dados_BLP4"/>
      <sheetName val="Indicadores_Economicos2"/>
      <sheetName val="Share_Price_20022"/>
      <sheetName val="VOLUME_CA1"/>
      <sheetName val="2001_10_Cerv1"/>
      <sheetName val="PLAN_SAC_Cerveja1"/>
      <sheetName val="PLAN_SAC_RefrigeNanc1"/>
      <sheetName val="2001_04_Cerv1"/>
      <sheetName val="Farol_SAC_Cerveja1"/>
      <sheetName val="2001_04_Nanc1"/>
      <sheetName val="Farol_SAC_Refrigenanc1"/>
      <sheetName val="Base_PEF1"/>
      <sheetName val="Labatt_Shares1"/>
      <sheetName val="Balance_Fin_ajust_20041"/>
      <sheetName val="CAD_Month1"/>
      <sheetName val="CAD_YE1"/>
      <sheetName val="US_Month_1"/>
      <sheetName val="US_Month_-_Crowns1"/>
      <sheetName val="US_YE_-_Crowns1"/>
      <sheetName val="Distribution_from_BU"/>
      <sheetName val="Sig_Cycles_Accts_&amp;_Processes"/>
      <sheetName val="base_bradesco"/>
      <sheetName val="Comparativo_99X00"/>
      <sheetName val="PLAN_DE_ACCION"/>
      <sheetName val="Calc_1"/>
      <sheetName val="Base_da_Datos"/>
      <sheetName val="1.0_LIST"/>
      <sheetName val="PM"/>
      <sheetName val="COTAÇÕES"/>
      <sheetName val="BU Caribe"/>
      <sheetName val="Hidden"/>
      <sheetName val="Orientation"/>
      <sheetName val="Settings"/>
      <sheetName val="Delivery"/>
      <sheetName val="Indicadores_Econômicos5"/>
      <sheetName val="Datas_de_Divulgação5"/>
      <sheetName val="Indicadores_Bloomberg5"/>
      <sheetName val="Estimativa__IP5"/>
      <sheetName val="Tx_Juros_Efetivas5"/>
      <sheetName val="Valor_de_Mercado5"/>
      <sheetName val="Pop__Eco__At_5"/>
      <sheetName val="Brazil_Sovereign5"/>
      <sheetName val="Dados_BLP5"/>
      <sheetName val="Indicadores_Economicos3"/>
      <sheetName val="Share_Price_20023"/>
      <sheetName val="VOLUME_CA2"/>
      <sheetName val="2001_10_Cerv2"/>
      <sheetName val="PLAN_SAC_Cerveja2"/>
      <sheetName val="PLAN_SAC_RefrigeNanc2"/>
      <sheetName val="2001_04_Cerv2"/>
      <sheetName val="Farol_SAC_Cerveja2"/>
      <sheetName val="2001_04_Nanc2"/>
      <sheetName val="Farol_SAC_Refrigenanc2"/>
      <sheetName val="Base_PEF2"/>
      <sheetName val="Labatt_Shares2"/>
      <sheetName val="Balance_Fin_ajust_20042"/>
      <sheetName val="CAD_Month2"/>
      <sheetName val="CAD_YE2"/>
      <sheetName val="US_Month_2"/>
      <sheetName val="US_Month_-_Crowns2"/>
      <sheetName val="US_YE_-_Crowns2"/>
      <sheetName val="Distribution_from_BU1"/>
      <sheetName val="Sig_Cycles_Accts_&amp;_Processes1"/>
      <sheetName val="base_bradesco1"/>
      <sheetName val="Comparativo_99X001"/>
      <sheetName val="PLAN_DE_ACCION1"/>
      <sheetName val="Calc_11"/>
      <sheetName val="Base_da_Datos1"/>
      <sheetName val="5_1"/>
      <sheetName val="Engine"/>
      <sheetName val="Assumptions"/>
      <sheetName val="Validate"/>
      <sheetName val="Financials"/>
      <sheetName val="EI Calc"/>
      <sheetName val="BASE REAL"/>
      <sheetName val="List"/>
      <sheetName val="Relatório"/>
      <sheetName val="Parametrização"/>
      <sheetName val="2RF98 (Mkt 9%)"/>
      <sheetName val="BDS"/>
      <sheetName val="Balancete"/>
      <sheetName val="Apoio"/>
      <sheetName val="Infos Empresas"/>
      <sheetName val="Empresas"/>
      <sheetName val="UNIDADES"/>
      <sheetName val="Details"/>
      <sheetName val="DropDowns"/>
      <sheetName val="Indicadores_Econômicos6"/>
      <sheetName val="Datas_de_Divulgação6"/>
      <sheetName val="Indicadores_Bloomberg6"/>
      <sheetName val="Estimativa__IP6"/>
      <sheetName val="Tx_Juros_Efetivas6"/>
      <sheetName val="Valor_de_Mercado6"/>
      <sheetName val="Pop__Eco__At_6"/>
      <sheetName val="Brazil_Sovereign6"/>
      <sheetName val="Dados_BLP6"/>
      <sheetName val="Indicadores_Economicos4"/>
      <sheetName val="Share_Price_20024"/>
      <sheetName val="VOLUME_CA3"/>
      <sheetName val="2001_10_Cerv3"/>
      <sheetName val="PLAN_SAC_Cerveja3"/>
      <sheetName val="PLAN_SAC_RefrigeNanc3"/>
      <sheetName val="2001_04_Cerv3"/>
      <sheetName val="Farol_SAC_Cerveja3"/>
      <sheetName val="2001_04_Nanc3"/>
      <sheetName val="Farol_SAC_Refrigenanc3"/>
      <sheetName val="Base_PEF3"/>
      <sheetName val="Labatt_Shares3"/>
      <sheetName val="Balance_Fin_ajust_20043"/>
      <sheetName val="CAD_Month3"/>
      <sheetName val="CAD_YE3"/>
      <sheetName val="US_Month_3"/>
      <sheetName val="US_Month_-_Crowns3"/>
      <sheetName val="US_YE_-_Crowns3"/>
      <sheetName val="Sig_Cycles_Accts_&amp;_Processes2"/>
      <sheetName val="Distribution_from_BU2"/>
      <sheetName val="base_bradesco2"/>
      <sheetName val="Comparativo_99X002"/>
      <sheetName val="PLAN_DE_ACCION2"/>
      <sheetName val="Calc_12"/>
      <sheetName val="Base_da_Datos2"/>
      <sheetName val="5_11"/>
      <sheetName val="1_0_LIST"/>
      <sheetName val="BU_Caribe"/>
      <sheetName val="EI_Calc"/>
      <sheetName val="BASE_REAL"/>
      <sheetName val="2RF98_(Mkt_9%)"/>
      <sheetName val="Infos_Empresas"/>
      <sheetName val="Load Data"/>
      <sheetName val=""/>
      <sheetName val="HON"/>
      <sheetName val="General Downloads"/>
      <sheetName val="Data Input"/>
      <sheetName val="Indicadores_Econômicos7"/>
      <sheetName val="Datas_de_Divulgação7"/>
      <sheetName val="Indicadores_Bloomberg7"/>
      <sheetName val="Estimativa__IP7"/>
      <sheetName val="Tx_Juros_Efetivas7"/>
      <sheetName val="Valor_de_Mercado7"/>
      <sheetName val="Pop__Eco__At_7"/>
      <sheetName val="Brazil_Sovereign7"/>
      <sheetName val="Dados_BLP7"/>
      <sheetName val="Indicadores_Economicos5"/>
      <sheetName val="Share_Price_20025"/>
      <sheetName val="VOLUME_CA4"/>
      <sheetName val="2001_10_Cerv4"/>
      <sheetName val="PLAN_SAC_Cerveja4"/>
      <sheetName val="PLAN_SAC_RefrigeNanc4"/>
      <sheetName val="2001_04_Cerv4"/>
      <sheetName val="Farol_SAC_Cerveja4"/>
      <sheetName val="2001_04_Nanc4"/>
      <sheetName val="Farol_SAC_Refrigenanc4"/>
      <sheetName val="Base_PEF4"/>
      <sheetName val="Labatt_Shares4"/>
      <sheetName val="Balance_Fin_ajust_20044"/>
      <sheetName val="CAD_Month4"/>
      <sheetName val="CAD_YE4"/>
      <sheetName val="US_Month_4"/>
      <sheetName val="US_Month_-_Crowns4"/>
      <sheetName val="US_YE_-_Crowns4"/>
      <sheetName val="Distribution_from_BU3"/>
      <sheetName val="Sig_Cycles_Accts_&amp;_Processes3"/>
      <sheetName val="base_bradesco3"/>
      <sheetName val="Comparativo_99X003"/>
      <sheetName val="PLAN_DE_ACCION3"/>
      <sheetName val="Calc_13"/>
      <sheetName val="Base_da_Datos3"/>
      <sheetName val="5_12"/>
      <sheetName val="1_0_LIST1"/>
      <sheetName val="BU_Caribe1"/>
      <sheetName val="EI_Calc1"/>
      <sheetName val="BASE_REAL1"/>
      <sheetName val="2RF98_(Mkt_9%)1"/>
      <sheetName val="Infos_Empresas1"/>
      <sheetName val="Load_Data"/>
      <sheetName val="General_Downloads"/>
      <sheetName val="Data_Input"/>
      <sheetName val="Indicadores_Econômicos8"/>
      <sheetName val="Datas_de_Divulgação8"/>
      <sheetName val="Indicadores_Bloomberg8"/>
      <sheetName val="Estimativa__IP8"/>
      <sheetName val="Tx_Juros_Efetivas8"/>
      <sheetName val="Valor_de_Mercado8"/>
      <sheetName val="Pop__Eco__At_8"/>
      <sheetName val="Brazil_Sovereign8"/>
      <sheetName val="Dados_BLP8"/>
      <sheetName val="Share_Price_20026"/>
      <sheetName val="Indicadores_Economicos6"/>
      <sheetName val="VOLUME_CA5"/>
      <sheetName val="2001_10_Cerv5"/>
      <sheetName val="PLAN_SAC_Cerveja5"/>
      <sheetName val="PLAN_SAC_RefrigeNanc5"/>
      <sheetName val="2001_04_Cerv5"/>
      <sheetName val="Farol_SAC_Cerveja5"/>
      <sheetName val="2001_04_Nanc5"/>
      <sheetName val="Farol_SAC_Refrigenanc5"/>
      <sheetName val="Base_PEF5"/>
      <sheetName val="Labatt_Shares5"/>
      <sheetName val="Balance_Fin_ajust_20045"/>
      <sheetName val="CAD_Month5"/>
      <sheetName val="CAD_YE5"/>
      <sheetName val="US_Month_5"/>
      <sheetName val="US_Month_-_Crowns5"/>
      <sheetName val="US_YE_-_Crowns5"/>
      <sheetName val="Sig_Cycles_Accts_&amp;_Processes4"/>
      <sheetName val="Distribution_from_BU4"/>
      <sheetName val="base_bradesco4"/>
      <sheetName val="Comparativo_99X004"/>
      <sheetName val="PLAN_DE_ACCION4"/>
      <sheetName val="Calc_14"/>
      <sheetName val="Base_da_Datos4"/>
      <sheetName val="5_13"/>
      <sheetName val="1_0_LIST2"/>
      <sheetName val="BU_Caribe2"/>
      <sheetName val="EI_Calc2"/>
      <sheetName val="BASE_REAL2"/>
      <sheetName val="2RF98_(Mkt_9%)2"/>
      <sheetName val="Infos_Empresas2"/>
      <sheetName val="Load_Data1"/>
      <sheetName val="General_Downloads1"/>
      <sheetName val="Data_Input1"/>
      <sheetName val="TASAS 2"/>
      <sheetName val="DADOS"/>
      <sheetName val="Operação teste 26A "/>
      <sheetName val="Data"/>
      <sheetName val="RG Depots"/>
      <sheetName val="I. INICIO"/>
      <sheetName val="Resumo (x) Contab. "/>
      <sheetName val="AcqIS"/>
      <sheetName val="AcqBSCF"/>
      <sheetName val="数据库"/>
      <sheetName val="Pillars"/>
      <sheetName val="FJJX Bud_IB"/>
      <sheetName val="Datos MES"/>
      <sheetName val="Tabla prod"/>
      <sheetName val="ID_Ano"/>
      <sheetName val="% FRETEIRO (S.26)"/>
      <sheetName val="PNP Op+Aj+Am"/>
      <sheetName val="PNP Ajudante+Amarrador"/>
      <sheetName val="Indicadores_Econômicos9"/>
      <sheetName val="Datas_de_Divulgação9"/>
      <sheetName val="Indicadores_Bloomberg9"/>
      <sheetName val="Estimativa__IP9"/>
      <sheetName val="Tx_Juros_Efetivas9"/>
      <sheetName val="Valor_de_Mercado9"/>
      <sheetName val="Pop__Eco__At_9"/>
      <sheetName val="Brazil_Sovereign9"/>
      <sheetName val="Dados_BLP9"/>
      <sheetName val="Share_Price_20027"/>
      <sheetName val="Indicadores_Economicos7"/>
      <sheetName val="VOLUME_CA6"/>
      <sheetName val="2001_10_Cerv6"/>
      <sheetName val="PLAN_SAC_Cerveja6"/>
      <sheetName val="PLAN_SAC_RefrigeNanc6"/>
      <sheetName val="2001_04_Cerv6"/>
      <sheetName val="Farol_SAC_Cerveja6"/>
      <sheetName val="2001_04_Nanc6"/>
      <sheetName val="Farol_SAC_Refrigenanc6"/>
      <sheetName val="Labatt_Shares6"/>
      <sheetName val="Base_PEF6"/>
      <sheetName val="CAD_Month6"/>
      <sheetName val="CAD_YE6"/>
      <sheetName val="US_Month_6"/>
      <sheetName val="US_Month_-_Crowns6"/>
      <sheetName val="US_YE_-_Crowns6"/>
      <sheetName val="Balance_Fin_ajust_20046"/>
      <sheetName val="Distribution_from_BU5"/>
      <sheetName val="Sig_Cycles_Accts_&amp;_Processes5"/>
      <sheetName val="base_bradesco5"/>
      <sheetName val="Comparativo_99X005"/>
      <sheetName val="PLAN_DE_ACCION5"/>
      <sheetName val="Calc_15"/>
      <sheetName val="Base_da_Datos5"/>
      <sheetName val="5_14"/>
      <sheetName val="1_0_LIST3"/>
      <sheetName val="BU_Caribe3"/>
      <sheetName val="EI_Calc3"/>
      <sheetName val="BASE_REAL3"/>
      <sheetName val="2RF98_(Mkt_9%)3"/>
      <sheetName val="Infos_Empresas3"/>
      <sheetName val="General_Downloads2"/>
      <sheetName val="Data_Input2"/>
      <sheetName val="Load_Data2"/>
      <sheetName val="Operação_teste_26A_"/>
      <sheetName val="TASAS_2"/>
      <sheetName val="RG_Depots"/>
      <sheetName val="I__INICIO"/>
      <sheetName val="Resumo_(x)_Contab__"/>
      <sheetName val="Indicadores_Econômicos11"/>
      <sheetName val="Datas_de_Divulgação11"/>
      <sheetName val="Indicadores_Bloomberg11"/>
      <sheetName val="Estimativa__IP11"/>
      <sheetName val="Tx_Juros_Efetivas11"/>
      <sheetName val="Valor_de_Mercado11"/>
      <sheetName val="Pop__Eco__At_11"/>
      <sheetName val="Brazil_Sovereign11"/>
      <sheetName val="Dados_BLP11"/>
      <sheetName val="Share_Price_20029"/>
      <sheetName val="Indicadores_Economicos9"/>
      <sheetName val="VOLUME_CA8"/>
      <sheetName val="2001_10_Cerv8"/>
      <sheetName val="PLAN_SAC_Cerveja8"/>
      <sheetName val="PLAN_SAC_RefrigeNanc8"/>
      <sheetName val="2001_04_Cerv8"/>
      <sheetName val="Farol_SAC_Cerveja8"/>
      <sheetName val="2001_04_Nanc8"/>
      <sheetName val="Farol_SAC_Refrigenanc8"/>
      <sheetName val="Base_PEF8"/>
      <sheetName val="Labatt_Shares8"/>
      <sheetName val="Balance_Fin_ajust_20048"/>
      <sheetName val="CAD_Month8"/>
      <sheetName val="CAD_YE8"/>
      <sheetName val="US_Month_8"/>
      <sheetName val="US_Month_-_Crowns8"/>
      <sheetName val="US_YE_-_Crowns8"/>
      <sheetName val="Distribution_from_BU7"/>
      <sheetName val="Sig_Cycles_Accts_&amp;_Processes7"/>
      <sheetName val="base_bradesco7"/>
      <sheetName val="Comparativo_99X007"/>
      <sheetName val="PLAN_DE_ACCION7"/>
      <sheetName val="Calc_17"/>
      <sheetName val="Base_da_Datos7"/>
      <sheetName val="5_16"/>
      <sheetName val="Indicadores_Econômicos10"/>
      <sheetName val="Datas_de_Divulgação10"/>
      <sheetName val="Indicadores_Bloomberg10"/>
      <sheetName val="Estimativa__IP10"/>
      <sheetName val="Tx_Juros_Efetivas10"/>
      <sheetName val="Valor_de_Mercado10"/>
      <sheetName val="Pop__Eco__At_10"/>
      <sheetName val="Brazil_Sovereign10"/>
      <sheetName val="Dados_BLP10"/>
      <sheetName val="Share_Price_20028"/>
      <sheetName val="Indicadores_Economicos8"/>
      <sheetName val="VOLUME_CA7"/>
      <sheetName val="2001_10_Cerv7"/>
      <sheetName val="PLAN_SAC_Cerveja7"/>
      <sheetName val="PLAN_SAC_RefrigeNanc7"/>
      <sheetName val="2001_04_Cerv7"/>
      <sheetName val="Farol_SAC_Cerveja7"/>
      <sheetName val="2001_04_Nanc7"/>
      <sheetName val="Farol_SAC_Refrigenanc7"/>
      <sheetName val="Labatt_Shares7"/>
      <sheetName val="Base_PEF7"/>
      <sheetName val="CAD_Month7"/>
      <sheetName val="CAD_YE7"/>
      <sheetName val="US_Month_7"/>
      <sheetName val="US_Month_-_Crowns7"/>
      <sheetName val="US_YE_-_Crowns7"/>
      <sheetName val="Balance_Fin_ajust_20047"/>
      <sheetName val="Distribution_from_BU6"/>
      <sheetName val="Sig_Cycles_Accts_&amp;_Processes6"/>
      <sheetName val="base_bradesco6"/>
      <sheetName val="Comparativo_99X006"/>
      <sheetName val="PLAN_DE_ACCION6"/>
      <sheetName val="Calc_16"/>
      <sheetName val="Base_da_Datos6"/>
      <sheetName val="5_15"/>
      <sheetName val="1_0_LIST4"/>
      <sheetName val="BU_Caribe4"/>
      <sheetName val="EI_Calc4"/>
      <sheetName val="BASE_REAL4"/>
      <sheetName val="2RF98_(Mkt_9%)4"/>
      <sheetName val="Infos_Empresas4"/>
      <sheetName val="General_Downloads3"/>
      <sheetName val="Data_Input3"/>
      <sheetName val="Load_Data3"/>
      <sheetName val="Operação_teste_26A_1"/>
      <sheetName val="TASAS_21"/>
      <sheetName val="RG_Depots1"/>
      <sheetName val="I__INICIO1"/>
      <sheetName val="Resumo_(x)_Contab__1"/>
      <sheetName val="1_0_LIST5"/>
      <sheetName val="BU_Caribe5"/>
      <sheetName val="EI_Calc5"/>
      <sheetName val="BASE_REAL5"/>
      <sheetName val="2RF98_(Mkt_9%)5"/>
      <sheetName val="Infos_Empresas5"/>
      <sheetName val="General_Downloads4"/>
      <sheetName val="Data_Input4"/>
      <sheetName val="Load_Data4"/>
      <sheetName val="Operação_teste_26A_2"/>
      <sheetName val="TASAS_22"/>
      <sheetName val="RG_Depots2"/>
      <sheetName val="I__INICIO2"/>
      <sheetName val="Resumo_(x)_Contab__2"/>
      <sheetName val="Entity Drill Down"/>
      <sheetName val="FJJX_Bud_IB"/>
      <sheetName val="Report-Daily"/>
      <sheetName val="GraphData"/>
      <sheetName val="Mapping"/>
      <sheetName val="drop down list"/>
      <sheetName val="B-111"/>
      <sheetName val="AREAINDEX"/>
      <sheetName val="Anex 17"/>
      <sheetName val="HIST"/>
      <sheetName val="ACUMULADO"/>
      <sheetName val="Absenteísmo 2018"/>
      <sheetName val="outdr"/>
      <sheetName val="Input sheet"/>
      <sheetName val="Factor"/>
      <sheetName val="Estructura SAP"/>
      <sheetName val="Factor 8 Oz"/>
      <sheetName val="control sheet"/>
      <sheetName val="Base"/>
      <sheetName val="Ppto"/>
      <sheetName val="Plan1"/>
      <sheetName val="PEF"/>
      <sheetName val="AO"/>
      <sheetName val="BG"/>
      <sheetName val="EE"/>
      <sheetName val="PV"/>
      <sheetName val="SG"/>
      <sheetName val="TI"/>
      <sheetName val="NO BORRAR"/>
      <sheetName val="BD SEGUIM"/>
      <sheetName val="Seguimiento de Personal"/>
      <sheetName val="BD"/>
      <sheetName val="Estadisticas"/>
      <sheetName val="Personal REp"/>
      <sheetName val="FINALPHP"/>
      <sheetName val="Nominales 19"/>
      <sheetName val="IPC"/>
      <sheetName val="MES"/>
      <sheetName val="Bloomberg"/>
      <sheetName val="DATOS PARA INTERPOLACION"/>
      <sheetName val="DPN VALUE"/>
      <sheetName val="EVOLUMERCC"/>
      <sheetName val="PROM"/>
      <sheetName val="19-A"/>
      <sheetName val="bdic07"/>
      <sheetName val="Brand Analysis (1)"/>
      <sheetName val="BF Database"/>
      <sheetName val="BF PL31"/>
      <sheetName val="Administrative Information"/>
      <sheetName val="Appendix 6"/>
      <sheetName val="Peer1"/>
      <sheetName val="Peer2"/>
      <sheetName val="Peer3"/>
      <sheetName val="Peer4"/>
      <sheetName val="Peer5"/>
      <sheetName val="Peer6"/>
      <sheetName val="Peer7"/>
      <sheetName val="Peer8"/>
      <sheetName val="清酒材料需求"/>
      <sheetName val="ValidDataDrops"/>
      <sheetName val="母液材料需求"/>
      <sheetName val="SAP info"/>
      <sheetName val="条件格式选项"/>
      <sheetName val="MMR12子类(销量相关)"/>
      <sheetName val="Indicadores_Econômicos12"/>
      <sheetName val="Datas_de_Divulgação12"/>
      <sheetName val="Indicadores_Bloomberg12"/>
      <sheetName val="Estimativa__IP12"/>
      <sheetName val="Tx_Juros_Efetivas12"/>
      <sheetName val="Valor_de_Mercado12"/>
      <sheetName val="Pop__Eco__At_12"/>
      <sheetName val="Brazil_Sovereign12"/>
      <sheetName val="Dados_BLP12"/>
      <sheetName val="Indicadores_Economicos10"/>
      <sheetName val="Share_Price_200210"/>
      <sheetName val="VOLUME_CA9"/>
      <sheetName val="2001_10_Cerv9"/>
      <sheetName val="PLAN_SAC_Cerveja9"/>
      <sheetName val="PLAN_SAC_RefrigeNanc9"/>
      <sheetName val="2001_04_Cerv9"/>
      <sheetName val="Farol_SAC_Cerveja9"/>
      <sheetName val="2001_04_Nanc9"/>
      <sheetName val="Farol_SAC_Refrigenanc9"/>
      <sheetName val="Base_PEF9"/>
      <sheetName val="Labatt_Shares9"/>
      <sheetName val="Balance_Fin_ajust_20049"/>
      <sheetName val="CAD_Month9"/>
      <sheetName val="CAD_YE9"/>
      <sheetName val="US_Month_9"/>
      <sheetName val="US_Month_-_Crowns9"/>
      <sheetName val="US_YE_-_Crowns9"/>
      <sheetName val="Distribution_from_BU8"/>
      <sheetName val="Sig_Cycles_Accts_&amp;_Processes8"/>
      <sheetName val="base_bradesco8"/>
      <sheetName val="Comparativo_99X008"/>
      <sheetName val="PLAN_DE_ACCION8"/>
      <sheetName val="Calc_18"/>
      <sheetName val="Base_da_Datos8"/>
      <sheetName val="5_17"/>
      <sheetName val="1_0_LIST6"/>
      <sheetName val="BU_Caribe6"/>
      <sheetName val="EI_Calc6"/>
      <sheetName val="BASE_REAL6"/>
      <sheetName val="2RF98_(Mkt_9%)6"/>
      <sheetName val="Infos_Empresas6"/>
      <sheetName val="RG_Depots3"/>
      <sheetName val="Load_Data5"/>
      <sheetName val="General_Downloads5"/>
      <sheetName val="Data_Input5"/>
      <sheetName val="TASAS_23"/>
      <sheetName val="Operação_teste_26A_3"/>
      <sheetName val="I__INICIO3"/>
      <sheetName val="Resumo_(x)_Contab__3"/>
      <sheetName val="FJJX_Bud_IB1"/>
      <sheetName val="Datos_MES"/>
      <sheetName val="Tabla_prod"/>
      <sheetName val="%_FRETEIRO_(S_26)"/>
      <sheetName val="PNP_Op+Aj+Am"/>
      <sheetName val="PNP_Ajudante+Amarrador"/>
      <sheetName val="Entity_Drill_Down"/>
      <sheetName val="VM"/>
      <sheetName val="NO_BORRAR"/>
      <sheetName val="BD_SEGUIM"/>
      <sheetName val="Seguimiento_de_Personal"/>
      <sheetName val="Personal_REp"/>
      <sheetName val="drop_down_list"/>
      <sheetName val="Anex_17"/>
      <sheetName val="Absenteísmo_2018"/>
      <sheetName val="Input_sheet"/>
      <sheetName val="Estructura_SAP"/>
      <sheetName val="Factor_8_Oz"/>
      <sheetName val="control_sheet"/>
      <sheetName val="chiet tinh"/>
      <sheetName val="Controls"/>
      <sheetName val="EERR 12-03"/>
      <sheetName val="MOPE"/>
      <sheetName val="validaciones"/>
      <sheetName val="market"/>
      <sheetName val="CVA_Projetada12meses"/>
      <sheetName val="Supuestos"/>
      <sheetName val="RV4_Base2019"/>
      <sheetName val="RV4_Base2019Tarifas_V1"/>
      <sheetName val="RV4_Base2019_PS2023"/>
      <sheetName val="Comparativa PLP (Ene17 Ene18)"/>
      <sheetName val="Tarifas Base 2019"/>
      <sheetName val="Comparativa y análisis"/>
      <sheetName val="RV4_Base2020"/>
      <sheetName val="Tarifas_reseteo2024"/>
      <sheetName val="RV4_Base2019V1_Tarifas"/>
      <sheetName val="Factores de crecimiento"/>
      <sheetName val="Datos nov18-ago19"/>
      <sheetName val="Compara PLP 2018vs19"/>
      <sheetName val="Cierre 2019 8+4"/>
      <sheetName val="Efecto del PIB 2019 TARYET"/>
      <sheetName val="Hoja3"/>
      <sheetName val="Bal.Comp."/>
      <sheetName val="Setting"/>
      <sheetName val="Table_1"/>
      <sheetName val="TR"/>
      <sheetName val="Bloomberg bonds"/>
      <sheetName val="DATOS_PARA_INTERPOLACION"/>
      <sheetName val="DPN_VALUE"/>
      <sheetName val="Nominales_19"/>
      <sheetName val="Brand_Analysis_(1)"/>
      <sheetName val="Bal_Comp_"/>
      <sheetName val="SM NFG + 12 meses"/>
      <sheetName val="Report"/>
      <sheetName val="VARPEL"/>
      <sheetName val="dep pre"/>
      <sheetName val="Overview Waterfall"/>
      <sheetName val="Ref"/>
      <sheetName val="Indicadores_Econômicos13"/>
      <sheetName val="Datas_de_Divulgação13"/>
      <sheetName val="Indicadores_Bloomberg13"/>
      <sheetName val="Estimativa__IP13"/>
      <sheetName val="Tx_Juros_Efetivas13"/>
      <sheetName val="Valor_de_Mercado13"/>
      <sheetName val="Pop__Eco__At_13"/>
      <sheetName val="Brazil_Sovereign13"/>
      <sheetName val="Dados_BLP13"/>
      <sheetName val="Indicadores_Economicos11"/>
      <sheetName val="Share_Price_200211"/>
      <sheetName val="VOLUME_CA10"/>
      <sheetName val="2001_10_Cerv10"/>
      <sheetName val="PLAN_SAC_Cerveja10"/>
      <sheetName val="PLAN_SAC_RefrigeNanc10"/>
      <sheetName val="2001_04_Cerv10"/>
      <sheetName val="Farol_SAC_Cerveja10"/>
      <sheetName val="2001_04_Nanc10"/>
      <sheetName val="Farol_SAC_Refrigenanc10"/>
      <sheetName val="Base_PEF10"/>
      <sheetName val="Labatt_Shares10"/>
      <sheetName val="Balance_Fin_ajust_200410"/>
      <sheetName val="CAD_Month10"/>
      <sheetName val="CAD_YE10"/>
      <sheetName val="US_Month_10"/>
      <sheetName val="US_Month_-_Crowns10"/>
      <sheetName val="US_YE_-_Crowns10"/>
      <sheetName val="Distribution_from_BU9"/>
      <sheetName val="Sig_Cycles_Accts_&amp;_Processes9"/>
      <sheetName val="base_bradesco9"/>
      <sheetName val="Comparativo_99X009"/>
      <sheetName val="PLAN_DE_ACCION9"/>
      <sheetName val="Calc_19"/>
      <sheetName val="Base_da_Datos9"/>
      <sheetName val="5_18"/>
      <sheetName val="1_0_LIST7"/>
      <sheetName val="BU_Caribe7"/>
      <sheetName val="EI_Calc7"/>
      <sheetName val="2RF98_(Mkt_9%)7"/>
      <sheetName val="BASE_REAL7"/>
      <sheetName val="Infos_Empresas7"/>
      <sheetName val="General_Downloads6"/>
      <sheetName val="Data_Input6"/>
      <sheetName val="Load_Data6"/>
      <sheetName val="TASAS_24"/>
      <sheetName val="Operação_teste_26A_4"/>
      <sheetName val="RG_Depots4"/>
      <sheetName val="I__INICIO4"/>
      <sheetName val="Resumo_(x)_Contab__4"/>
      <sheetName val="FJJX_Bud_IB2"/>
      <sheetName val="Datos_MES1"/>
      <sheetName val="Tabla_prod1"/>
      <sheetName val="%_FRETEIRO_(S_26)1"/>
      <sheetName val="PNP_Op+Aj+Am1"/>
      <sheetName val="PNP_Ajudante+Amarrador1"/>
      <sheetName val="NO_BORRAR1"/>
      <sheetName val="BD_SEGUIM1"/>
      <sheetName val="Seguimiento_de_Personal1"/>
      <sheetName val="Entity_Drill_Down1"/>
      <sheetName val="Personal_REp1"/>
      <sheetName val="drop_down_list1"/>
      <sheetName val="Anex_171"/>
      <sheetName val="Input_sheet1"/>
      <sheetName val="Estructura_SAP1"/>
      <sheetName val="Factor_8_Oz1"/>
      <sheetName val="control_sheet1"/>
      <sheetName val="Absenteísmo_20181"/>
      <sheetName val="SAP_info"/>
      <sheetName val="BF_Database"/>
      <sheetName val="BF_PL31"/>
      <sheetName val="Administrative_Information"/>
      <sheetName val="Appendix_6"/>
      <sheetName val="chiet_tinh"/>
      <sheetName val="EERR_12-03"/>
      <sheetName val="Comparativa_PLP_(Ene17_Ene18)"/>
      <sheetName val="Tarifas_Base_2019"/>
      <sheetName val="Comparativa_y_análisis"/>
      <sheetName val="Factores_de_crecimiento"/>
      <sheetName val="Datos_nov18-ago19"/>
      <sheetName val="Compara_PLP_2018vs19"/>
      <sheetName val="Cierre_2019_8+4"/>
      <sheetName val="Efecto_del_PIB_2019_TARYET"/>
      <sheetName val="Indicadores_Econômicos14"/>
      <sheetName val="Datas_de_Divulgação14"/>
      <sheetName val="Indicadores_Bloomberg14"/>
      <sheetName val="Estimativa__IP14"/>
      <sheetName val="Tx_Juros_Efetivas14"/>
      <sheetName val="Valor_de_Mercado14"/>
      <sheetName val="Pop__Eco__At_14"/>
      <sheetName val="Brazil_Sovereign14"/>
      <sheetName val="Dados_BLP14"/>
      <sheetName val="Indicadores_Economicos12"/>
      <sheetName val="Share_Price_200212"/>
      <sheetName val="VOLUME_CA11"/>
      <sheetName val="2001_10_Cerv11"/>
      <sheetName val="PLAN_SAC_Cerveja11"/>
      <sheetName val="PLAN_SAC_RefrigeNanc11"/>
      <sheetName val="2001_04_Cerv11"/>
      <sheetName val="Farol_SAC_Cerveja11"/>
      <sheetName val="2001_04_Nanc11"/>
      <sheetName val="Farol_SAC_Refrigenanc11"/>
      <sheetName val="Base_PEF11"/>
      <sheetName val="Labatt_Shares11"/>
      <sheetName val="Balance_Fin_ajust_200411"/>
      <sheetName val="CAD_Month11"/>
      <sheetName val="CAD_YE11"/>
      <sheetName val="US_Month_11"/>
      <sheetName val="US_Month_-_Crowns11"/>
      <sheetName val="US_YE_-_Crowns11"/>
      <sheetName val="Distribution_from_BU10"/>
      <sheetName val="Sig_Cycles_Accts_&amp;_Processes10"/>
      <sheetName val="base_bradesco10"/>
      <sheetName val="Comparativo_99X0010"/>
      <sheetName val="PLAN_DE_ACCION10"/>
      <sheetName val="Calc_110"/>
      <sheetName val="Base_da_Datos10"/>
      <sheetName val="5_19"/>
      <sheetName val="1_0_LIST8"/>
      <sheetName val="BU_Caribe8"/>
      <sheetName val="EI_Calc8"/>
      <sheetName val="BASE_REAL8"/>
      <sheetName val="2RF98_(Mkt_9%)8"/>
      <sheetName val="Infos_Empresas8"/>
      <sheetName val="Load_Data7"/>
      <sheetName val="General_Downloads7"/>
      <sheetName val="Data_Input7"/>
      <sheetName val="TASAS_25"/>
      <sheetName val="Operação_teste_26A_5"/>
      <sheetName val="RG_Depots5"/>
      <sheetName val="I__INICIO5"/>
      <sheetName val="Resumo_(x)_Contab__5"/>
      <sheetName val="Datos_MES2"/>
      <sheetName val="Tabla_prod2"/>
      <sheetName val="%_FRETEIRO_(S_26)2"/>
      <sheetName val="PNP_Op+Aj+Am2"/>
      <sheetName val="PNP_Ajudante+Amarrador2"/>
      <sheetName val="FJJX_Bud_IB3"/>
      <sheetName val="Entity_Drill_Down2"/>
      <sheetName val="Anex_172"/>
      <sheetName val="drop_down_list2"/>
      <sheetName val="Absenteísmo_20182"/>
      <sheetName val="Input_sheet2"/>
      <sheetName val="Estructura_SAP2"/>
      <sheetName val="Factor_8_Oz2"/>
      <sheetName val="control_sheet2"/>
      <sheetName val="NO_BORRAR2"/>
      <sheetName val="BD_SEGUIM2"/>
      <sheetName val="Seguimiento_de_Personal2"/>
      <sheetName val="Personal_REp2"/>
      <sheetName val="BF_Database1"/>
      <sheetName val="BF_PL311"/>
      <sheetName val="Administrative_Information1"/>
      <sheetName val="Appendix_61"/>
      <sheetName val="SAP_info1"/>
      <sheetName val="Nominales_191"/>
      <sheetName val="DATOS_PARA_INTERPOLACION1"/>
      <sheetName val="DPN_VALUE1"/>
      <sheetName val="Brand_Analysis_(1)1"/>
      <sheetName val="EERR_12-031"/>
      <sheetName val="Comparativa_PLP_(Ene17_Ene18)1"/>
      <sheetName val="Tarifas_Base_20191"/>
      <sheetName val="Comparativa_y_análisis1"/>
      <sheetName val="Factores_de_crecimiento1"/>
      <sheetName val="Datos_nov18-ago191"/>
      <sheetName val="Compara_PLP_2018vs191"/>
      <sheetName val="Cierre_2019_8+41"/>
      <sheetName val="Efecto_del_PIB_2019_TARYET1"/>
      <sheetName val="Bal_Comp_1"/>
      <sheetName val="chiet_tinh1"/>
      <sheetName val="Bloomberg_bonds"/>
      <sheetName val="SM_NFG_+_12_meses"/>
      <sheetName val="dep_pre"/>
      <sheetName val="Overview_Waterfall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etup"/>
      <sheetName val="Sheet2"/>
      <sheetName val="Indicadores_Econômicos15"/>
      <sheetName val="Datas_de_Divulgação15"/>
      <sheetName val="Indicadores_Bloomberg15"/>
      <sheetName val="Estimativa__IP15"/>
      <sheetName val="Tx_Juros_Efetivas15"/>
      <sheetName val="Valor_de_Mercado15"/>
      <sheetName val="Pop__Eco__At_15"/>
      <sheetName val="Brazil_Sovereign15"/>
      <sheetName val="Dados_BLP15"/>
      <sheetName val="Share_Price_200213"/>
      <sheetName val="Indicadores_Economicos13"/>
      <sheetName val="VOLUME_CA12"/>
      <sheetName val="Base_PEF12"/>
      <sheetName val="2001_10_Cerv12"/>
      <sheetName val="PLAN_SAC_Cerveja12"/>
      <sheetName val="PLAN_SAC_RefrigeNanc12"/>
      <sheetName val="2001_04_Cerv12"/>
      <sheetName val="Farol_SAC_Cerveja12"/>
      <sheetName val="2001_04_Nanc12"/>
      <sheetName val="Farol_SAC_Refrigenanc12"/>
      <sheetName val="Labatt_Shares12"/>
      <sheetName val="Balance_Fin_ajust_200412"/>
      <sheetName val="CAD_Month12"/>
      <sheetName val="CAD_YE12"/>
      <sheetName val="US_Month_12"/>
      <sheetName val="US_Month_-_Crowns12"/>
      <sheetName val="US_YE_-_Crowns12"/>
      <sheetName val="Distribution_from_BU11"/>
      <sheetName val="Sig_Cycles_Accts_&amp;_Processes11"/>
      <sheetName val="base_bradesco11"/>
      <sheetName val="Comparativo_99X0011"/>
      <sheetName val="PLAN_DE_ACCION11"/>
      <sheetName val="Calc_111"/>
      <sheetName val="Base_da_Datos11"/>
      <sheetName val="5_110"/>
      <sheetName val="1_0_LIST9"/>
      <sheetName val="BU_Caribe9"/>
      <sheetName val="EI_Calc9"/>
      <sheetName val="BASE_REAL9"/>
      <sheetName val="2RF98_(Mkt_9%)9"/>
      <sheetName val="Infos_Empresas9"/>
      <sheetName val="General_Downloads8"/>
      <sheetName val="Data_Input8"/>
      <sheetName val="Load_Data8"/>
      <sheetName val="Operação_teste_26A_6"/>
      <sheetName val="RG_Depots6"/>
      <sheetName val="TASAS_26"/>
      <sheetName val="I__INICIO6"/>
      <sheetName val="Resumo_(x)_Contab__6"/>
      <sheetName val="FJJX_Bud_IB4"/>
      <sheetName val="Datos_MES3"/>
      <sheetName val="Tabla_prod3"/>
      <sheetName val="%_FRETEIRO_(S_26)3"/>
      <sheetName val="PNP_Op+Aj+Am3"/>
      <sheetName val="PNP_Ajudante+Amarrador3"/>
      <sheetName val="Entity_Drill_Down3"/>
      <sheetName val="NO_BORRAR3"/>
      <sheetName val="BD_SEGUIM3"/>
      <sheetName val="Seguimiento_de_Personal3"/>
      <sheetName val="Personal_REp3"/>
      <sheetName val="drop_down_list3"/>
      <sheetName val="Anex_173"/>
      <sheetName val="Absenteísmo_20183"/>
      <sheetName val="Input_sheet3"/>
      <sheetName val="Estructura_SAP3"/>
      <sheetName val="Factor_8_Oz3"/>
      <sheetName val="control_sheet3"/>
      <sheetName val="SAP_info2"/>
      <sheetName val="Nominales_192"/>
      <sheetName val="DATOS_PARA_INTERPOLACION2"/>
      <sheetName val="DPN_VALUE2"/>
      <sheetName val="Brand_Analysis_(1)2"/>
      <sheetName val="BF_Database2"/>
      <sheetName val="BF_PL312"/>
      <sheetName val="Administrative_Information2"/>
      <sheetName val="Appendix_62"/>
      <sheetName val="chiet_tinh2"/>
      <sheetName val="EERR_12-032"/>
      <sheetName val="Comparativa_PLP_(Ene17_Ene18)2"/>
      <sheetName val="Tarifas_Base_20192"/>
      <sheetName val="Comparativa_y_análisis2"/>
      <sheetName val="Factores_de_crecimiento2"/>
      <sheetName val="Datos_nov18-ago192"/>
      <sheetName val="Compara_PLP_2018vs192"/>
      <sheetName val="Cierre_2019_8+42"/>
      <sheetName val="Efecto_del_PIB_2019_TARYET2"/>
      <sheetName val="Bal_Comp_2"/>
      <sheetName val="Bloomberg_bonds1"/>
      <sheetName val="SM_NFG_+_12_meses1"/>
      <sheetName val="Indicadores_Econômicos16"/>
      <sheetName val="Datas_de_Divulgação16"/>
      <sheetName val="Indicadores_Bloomberg16"/>
      <sheetName val="Estimativa__IP16"/>
      <sheetName val="Tx_Juros_Efetivas16"/>
      <sheetName val="Valor_de_Mercado16"/>
      <sheetName val="Pop__Eco__At_16"/>
      <sheetName val="Brazil_Sovereign16"/>
      <sheetName val="Dados_BLP16"/>
      <sheetName val="Share_Price_200214"/>
      <sheetName val="Indicadores_Economicos14"/>
      <sheetName val="VOLUME_CA13"/>
      <sheetName val="Base_PEF13"/>
      <sheetName val="2001_10_Cerv13"/>
      <sheetName val="PLAN_SAC_Cerveja13"/>
      <sheetName val="PLAN_SAC_RefrigeNanc13"/>
      <sheetName val="2001_04_Cerv13"/>
      <sheetName val="Farol_SAC_Cerveja13"/>
      <sheetName val="2001_04_Nanc13"/>
      <sheetName val="Farol_SAC_Refrigenanc13"/>
      <sheetName val="Labatt_Shares13"/>
      <sheetName val="Balance_Fin_ajust_200413"/>
      <sheetName val="CAD_Month13"/>
      <sheetName val="CAD_YE13"/>
      <sheetName val="US_Month_13"/>
      <sheetName val="US_Month_-_Crowns13"/>
      <sheetName val="US_YE_-_Crowns13"/>
      <sheetName val="Distribution_from_BU12"/>
      <sheetName val="Sig_Cycles_Accts_&amp;_Processes12"/>
      <sheetName val="base_bradesco12"/>
      <sheetName val="Comparativo_99X0012"/>
      <sheetName val="PLAN_DE_ACCION12"/>
      <sheetName val="Calc_112"/>
      <sheetName val="Base_da_Datos12"/>
      <sheetName val="5_111"/>
      <sheetName val="1_0_LIST10"/>
      <sheetName val="BU_Caribe10"/>
      <sheetName val="EI_Calc10"/>
      <sheetName val="BASE_REAL10"/>
      <sheetName val="2RF98_(Mkt_9%)10"/>
      <sheetName val="Infos_Empresas10"/>
      <sheetName val="General_Downloads9"/>
      <sheetName val="Data_Input9"/>
      <sheetName val="Load_Data9"/>
      <sheetName val="Operação_teste_26A_7"/>
      <sheetName val="RG_Depots7"/>
      <sheetName val="TASAS_27"/>
      <sheetName val="I__INICIO7"/>
      <sheetName val="Resumo_(x)_Contab__7"/>
      <sheetName val="FJJX_Bud_IB5"/>
      <sheetName val="Datos_MES4"/>
      <sheetName val="Tabla_prod4"/>
      <sheetName val="%_FRETEIRO_(S_26)4"/>
      <sheetName val="PNP_Op+Aj+Am4"/>
      <sheetName val="PNP_Ajudante+Amarrador4"/>
      <sheetName val="Entity_Drill_Down4"/>
      <sheetName val="NO_BORRAR4"/>
      <sheetName val="BD_SEGUIM4"/>
      <sheetName val="Seguimiento_de_Personal4"/>
      <sheetName val="Personal_REp4"/>
      <sheetName val="drop_down_list4"/>
      <sheetName val="Anex_174"/>
      <sheetName val="Absenteísmo_20184"/>
      <sheetName val="Input_sheet4"/>
      <sheetName val="Estructura_SAP4"/>
      <sheetName val="Factor_8_Oz4"/>
      <sheetName val="control_sheet4"/>
      <sheetName val="SAP_info3"/>
      <sheetName val="Nominales_193"/>
      <sheetName val="DATOS_PARA_INTERPOLACION3"/>
      <sheetName val="DPN_VALUE3"/>
      <sheetName val="Brand_Analysis_(1)3"/>
      <sheetName val="BF_Database3"/>
      <sheetName val="BF_PL313"/>
      <sheetName val="Administrative_Information3"/>
      <sheetName val="Appendix_63"/>
      <sheetName val="chiet_tinh3"/>
      <sheetName val="EERR_12-033"/>
      <sheetName val="Comparativa_PLP_(Ene17_Ene18)3"/>
      <sheetName val="Tarifas_Base_20193"/>
      <sheetName val="Comparativa_y_análisis3"/>
      <sheetName val="Factores_de_crecimiento3"/>
      <sheetName val="Datos_nov18-ago193"/>
      <sheetName val="Compara_PLP_2018vs193"/>
      <sheetName val="Cierre_2019_8+43"/>
      <sheetName val="Efecto_del_PIB_2019_TARYET3"/>
      <sheetName val="Bal_Comp_3"/>
      <sheetName val="Bloomberg_bonds2"/>
      <sheetName val="SM_NFG_+_12_meses2"/>
      <sheetName val="dep_pre1"/>
      <sheetName val="Overview_Waterfall1"/>
      <sheetName val="Participantes"/>
      <sheetName val="Overview NON IND REP CURR"/>
      <sheetName val="Overview NON IND K-EUR"/>
      <sheetName val="Overview INDUSTRIAL REP CURR"/>
      <sheetName val="Overview INDUSTRIAL K-EUR"/>
      <sheetName val="CHARTS ADHOC REP CURR"/>
      <sheetName val="CHARTS ADHOC K-EUR"/>
      <sheetName val="CHARTS IGCE REP CURR"/>
      <sheetName val="CHARTS IGCE K-EUR"/>
      <sheetName val="CHARTS ADHOC2 REP CURR"/>
      <sheetName val="CHARTS ADHOC2 K-EUR"/>
      <sheetName val="DIVESTMENTS REP CURR"/>
      <sheetName val="DIVESTMENTS K-EUR"/>
      <sheetName val="INVESTMENTS REP CURR"/>
      <sheetName val="INVESTMENTS K-EUR"/>
      <sheetName val="SYSTEM"/>
      <sheetName val="Principal"/>
      <sheetName val="FLOWCHART-03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Real 2018"/>
      <sheetName val="premisas"/>
      <sheetName val="Carteira Ações"/>
      <sheetName val="XREF"/>
      <sheetName val="Lead"/>
      <sheetName val="Dividendos"/>
      <sheetName val="Indicadores_Econômicos17"/>
      <sheetName val="Datas_de_Divulgação17"/>
      <sheetName val="Indicadores_Bloomberg17"/>
      <sheetName val="Estimativa__IP17"/>
      <sheetName val="Tx_Juros_Efetivas17"/>
      <sheetName val="Valor_de_Mercado17"/>
      <sheetName val="Pop__Eco__At_17"/>
      <sheetName val="Brazil_Sovereign17"/>
      <sheetName val="Dados_BLP17"/>
      <sheetName val="Indicadores_Economicos15"/>
      <sheetName val="Share_Price_200215"/>
      <sheetName val="VOLUME_CA14"/>
      <sheetName val="2001_10_Cerv14"/>
      <sheetName val="PLAN_SAC_Cerveja14"/>
      <sheetName val="PLAN_SAC_RefrigeNanc14"/>
      <sheetName val="2001_04_Cerv14"/>
      <sheetName val="Farol_SAC_Cerveja14"/>
      <sheetName val="2001_04_Nanc14"/>
      <sheetName val="Farol_SAC_Refrigenanc14"/>
      <sheetName val="Base_PEF14"/>
      <sheetName val="Labatt_Shares14"/>
      <sheetName val="Balance_Fin_ajust_200414"/>
      <sheetName val="CAD_Month14"/>
      <sheetName val="CAD_YE14"/>
      <sheetName val="US_Month_14"/>
      <sheetName val="US_Month_-_Crowns14"/>
      <sheetName val="US_YE_-_Crowns14"/>
      <sheetName val="Distribution_from_BU13"/>
      <sheetName val="Sig_Cycles_Accts_&amp;_Processes13"/>
      <sheetName val="base_bradesco13"/>
      <sheetName val="Comparativo_99X0013"/>
      <sheetName val="PLAN_DE_ACCION13"/>
      <sheetName val="Calc_113"/>
      <sheetName val="Base_da_Datos13"/>
      <sheetName val="5_112"/>
      <sheetName val="1_0_LIST11"/>
      <sheetName val="BU_Caribe11"/>
      <sheetName val="EI_Calc11"/>
      <sheetName val="BASE_REAL11"/>
      <sheetName val="2RF98_(Mkt_9%)11"/>
      <sheetName val="Infos_Empresas11"/>
      <sheetName val="Load_Data10"/>
      <sheetName val="General_Downloads10"/>
      <sheetName val="Data_Input10"/>
      <sheetName val="TASAS_28"/>
      <sheetName val="Operação_teste_26A_8"/>
      <sheetName val="RG_Depots8"/>
      <sheetName val="I__INICIO8"/>
      <sheetName val="Resumo_(x)_Contab__8"/>
      <sheetName val="FJJX_Bud_IB6"/>
      <sheetName val="Datos_MES5"/>
      <sheetName val="Tabla_prod5"/>
      <sheetName val="%_FRETEIRO_(S_26)5"/>
      <sheetName val="PNP_Op+Aj+Am5"/>
      <sheetName val="PNP_Ajudante+Amarrador5"/>
      <sheetName val="Entity_Drill_Down5"/>
      <sheetName val="drop_down_list5"/>
      <sheetName val="Anex_175"/>
      <sheetName val="Absenteísmo_20185"/>
      <sheetName val="Input_sheet5"/>
      <sheetName val="Estructura_SAP5"/>
      <sheetName val="Factor_8_Oz5"/>
      <sheetName val="control_sheet5"/>
      <sheetName val="NO_BORRAR5"/>
      <sheetName val="BD_SEGUIM5"/>
      <sheetName val="Seguimiento_de_Personal5"/>
      <sheetName val="Personal_REp5"/>
      <sheetName val="Nominales_194"/>
      <sheetName val="DATOS_PARA_INTERPOLACION4"/>
      <sheetName val="DPN_VALUE4"/>
      <sheetName val="Brand_Analysis_(1)4"/>
      <sheetName val="BF_Database4"/>
      <sheetName val="BF_PL314"/>
      <sheetName val="Administrative_Information4"/>
      <sheetName val="Appendix_64"/>
      <sheetName val="SAP_info4"/>
      <sheetName val="EERR_12-034"/>
      <sheetName val="Comparativa_PLP_(Ene17_Ene18)4"/>
      <sheetName val="Tarifas_Base_20194"/>
      <sheetName val="Comparativa_y_análisis4"/>
      <sheetName val="Factores_de_crecimiento4"/>
      <sheetName val="Datos_nov18-ago194"/>
      <sheetName val="Compara_PLP_2018vs194"/>
      <sheetName val="Cierre_2019_8+44"/>
      <sheetName val="Efecto_del_PIB_2019_TARYET4"/>
      <sheetName val="Bal_Comp_4"/>
      <sheetName val="chiet_tinh4"/>
      <sheetName val="Bloomberg_bonds3"/>
      <sheetName val="SM_NFG_+_12_meses3"/>
      <sheetName val="dep_pre2"/>
      <sheetName val="Overview_Waterfall2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Indicadores_Econômicos18"/>
      <sheetName val="Datas_de_Divulgação18"/>
      <sheetName val="Indicadores_Bloomberg18"/>
      <sheetName val="Estimativa__IP18"/>
      <sheetName val="Tx_Juros_Efetivas18"/>
      <sheetName val="Valor_de_Mercado18"/>
      <sheetName val="Pop__Eco__At_18"/>
      <sheetName val="Brazil_Sovereign18"/>
      <sheetName val="Dados_BLP18"/>
      <sheetName val="Indicadores_Economicos16"/>
      <sheetName val="Share_Price_200216"/>
      <sheetName val="VOLUME_CA15"/>
      <sheetName val="2001_10_Cerv15"/>
      <sheetName val="PLAN_SAC_Cerveja15"/>
      <sheetName val="PLAN_SAC_RefrigeNanc15"/>
      <sheetName val="2001_04_Cerv15"/>
      <sheetName val="Farol_SAC_Cerveja15"/>
      <sheetName val="2001_04_Nanc15"/>
      <sheetName val="Farol_SAC_Refrigenanc15"/>
      <sheetName val="Base_PEF15"/>
      <sheetName val="Labatt_Shares15"/>
      <sheetName val="Balance_Fin_ajust_200415"/>
      <sheetName val="CAD_Month15"/>
      <sheetName val="CAD_YE15"/>
      <sheetName val="US_Month_15"/>
      <sheetName val="US_Month_-_Crowns15"/>
      <sheetName val="US_YE_-_Crowns15"/>
      <sheetName val="Distribution_from_BU14"/>
      <sheetName val="Sig_Cycles_Accts_&amp;_Processes14"/>
      <sheetName val="base_bradesco14"/>
      <sheetName val="Comparativo_99X0014"/>
      <sheetName val="PLAN_DE_ACCION14"/>
      <sheetName val="Calc_114"/>
      <sheetName val="Base_da_Datos14"/>
      <sheetName val="5_113"/>
      <sheetName val="1_0_LIST12"/>
      <sheetName val="BU_Caribe12"/>
      <sheetName val="EI_Calc12"/>
      <sheetName val="BASE_REAL12"/>
      <sheetName val="2RF98_(Mkt_9%)12"/>
      <sheetName val="Infos_Empresas12"/>
      <sheetName val="Load_Data11"/>
      <sheetName val="General_Downloads11"/>
      <sheetName val="Data_Input11"/>
      <sheetName val="TASAS_29"/>
      <sheetName val="Operação_teste_26A_9"/>
      <sheetName val="RG_Depots9"/>
      <sheetName val="I__INICIO9"/>
      <sheetName val="Resumo_(x)_Contab__9"/>
      <sheetName val="FJJX_Bud_IB7"/>
      <sheetName val="Datos_MES6"/>
      <sheetName val="Tabla_prod6"/>
      <sheetName val="%_FRETEIRO_(S_26)6"/>
      <sheetName val="PNP_Op+Aj+Am6"/>
      <sheetName val="PNP_Ajudante+Amarrador6"/>
      <sheetName val="Entity_Drill_Down6"/>
      <sheetName val="drop_down_list6"/>
      <sheetName val="Anex_176"/>
      <sheetName val="Absenteísmo_20186"/>
      <sheetName val="Input_sheet6"/>
      <sheetName val="Estructura_SAP6"/>
      <sheetName val="Factor_8_Oz6"/>
      <sheetName val="control_sheet6"/>
      <sheetName val="NO_BORRAR6"/>
      <sheetName val="BD_SEGUIM6"/>
      <sheetName val="Seguimiento_de_Personal6"/>
      <sheetName val="Personal_REp6"/>
      <sheetName val="Nominales_195"/>
      <sheetName val="DATOS_PARA_INTERPOLACION5"/>
      <sheetName val="DPN_VALUE5"/>
      <sheetName val="Brand_Analysis_(1)5"/>
      <sheetName val="BF_Database5"/>
      <sheetName val="BF_PL315"/>
      <sheetName val="Administrative_Information5"/>
      <sheetName val="Appendix_65"/>
      <sheetName val="SAP_info5"/>
      <sheetName val="EERR_12-035"/>
      <sheetName val="Comparativa_PLP_(Ene17_Ene18)5"/>
      <sheetName val="Tarifas_Base_20195"/>
      <sheetName val="Comparativa_y_análisis5"/>
      <sheetName val="Factores_de_crecimiento5"/>
      <sheetName val="Datos_nov18-ago195"/>
      <sheetName val="Compara_PLP_2018vs195"/>
      <sheetName val="Cierre_2019_8+45"/>
      <sheetName val="Efecto_del_PIB_2019_TARYET5"/>
      <sheetName val="Bal_Comp_5"/>
      <sheetName val="chiet_tinh5"/>
      <sheetName val="Bloomberg_bonds4"/>
      <sheetName val="SM_NFG_+_12_meses4"/>
      <sheetName val="dep_pre3"/>
      <sheetName val="Overview_Waterfall3"/>
      <sheetName val="SDCA_Checkpoint2"/>
      <sheetName val="Step_012"/>
      <sheetName val="Problem_Statement2"/>
      <sheetName val="ITF_Page2"/>
      <sheetName val="PDCA_Page2"/>
      <sheetName val="Current_Time_Series2"/>
      <sheetName val="Time_Series_Trap2"/>
      <sheetName val="KPI_Tree2"/>
      <sheetName val="Customers_Voice2"/>
      <sheetName val="Step_022"/>
      <sheetName val="Histogram_(2)2"/>
      <sheetName val="Data_Collection_Plan2"/>
      <sheetName val="Tree_Diagram2"/>
      <sheetName val="Additional_Data_Tab2"/>
      <sheetName val="Step_32"/>
      <sheetName val="Cause_and_Effect2"/>
      <sheetName val="5_WHYs2"/>
      <sheetName val="Process_Mapping2"/>
      <sheetName val="Dispersion_Chart2"/>
      <sheetName val="Dispersion_Chart_(2)2"/>
      <sheetName val="Dispersion_Chart_(3)2"/>
      <sheetName val="Control_Letter2"/>
      <sheetName val="Control_Letter_(2)2"/>
      <sheetName val="Control_Letter_(3)2"/>
      <sheetName val="Additional_Data_Tab_(2)2"/>
      <sheetName val="Step_042"/>
      <sheetName val="Impact_Matrix2"/>
      <sheetName val="Action_Plan2"/>
      <sheetName val="Step_52"/>
      <sheetName val="Step_62"/>
      <sheetName val="Results_Check2"/>
      <sheetName val="Step_72"/>
      <sheetName val="Risk_Analysis2"/>
      <sheetName val="Step_82"/>
      <sheetName val="SDCA_Implementation2"/>
      <sheetName val="Indicadores_Econômicos19"/>
      <sheetName val="Datas_de_Divulgação19"/>
      <sheetName val="Indicadores_Bloomberg19"/>
      <sheetName val="Estimativa__IP19"/>
      <sheetName val="Tx_Juros_Efetivas19"/>
      <sheetName val="Valor_de_Mercado19"/>
      <sheetName val="Pop__Eco__At_19"/>
      <sheetName val="Brazil_Sovereign19"/>
      <sheetName val="Dados_BLP19"/>
      <sheetName val="Indicadores_Economicos17"/>
      <sheetName val="Share_Price_200217"/>
      <sheetName val="VOLUME_CA16"/>
      <sheetName val="2001_10_Cerv16"/>
      <sheetName val="PLAN_SAC_Cerveja16"/>
      <sheetName val="PLAN_SAC_RefrigeNanc16"/>
      <sheetName val="2001_04_Cerv16"/>
      <sheetName val="Farol_SAC_Cerveja16"/>
      <sheetName val="2001_04_Nanc16"/>
      <sheetName val="Farol_SAC_Refrigenanc16"/>
      <sheetName val="Base_PEF16"/>
      <sheetName val="Labatt_Shares16"/>
      <sheetName val="Balance_Fin_ajust_200416"/>
      <sheetName val="CAD_Month16"/>
      <sheetName val="CAD_YE16"/>
      <sheetName val="US_Month_16"/>
      <sheetName val="US_Month_-_Crowns16"/>
      <sheetName val="US_YE_-_Crowns16"/>
      <sheetName val="Distribution_from_BU15"/>
      <sheetName val="Sig_Cycles_Accts_&amp;_Processes15"/>
      <sheetName val="base_bradesco15"/>
      <sheetName val="Comparativo_99X0015"/>
      <sheetName val="PLAN_DE_ACCION15"/>
      <sheetName val="Calc_115"/>
      <sheetName val="Base_da_Datos15"/>
      <sheetName val="5_114"/>
      <sheetName val="1_0_LIST13"/>
      <sheetName val="BU_Caribe13"/>
      <sheetName val="EI_Calc13"/>
      <sheetName val="BASE_REAL13"/>
      <sheetName val="2RF98_(Mkt_9%)13"/>
      <sheetName val="Infos_Empresas13"/>
      <sheetName val="Load_Data12"/>
      <sheetName val="General_Downloads12"/>
      <sheetName val="Data_Input12"/>
      <sheetName val="TASAS_210"/>
      <sheetName val="Operação_teste_26A_10"/>
      <sheetName val="RG_Depots10"/>
      <sheetName val="I__INICIO10"/>
      <sheetName val="Resumo_(x)_Contab__10"/>
      <sheetName val="FJJX_Bud_IB8"/>
      <sheetName val="Datos_MES7"/>
      <sheetName val="Tabla_prod7"/>
      <sheetName val="%_FRETEIRO_(S_26)7"/>
      <sheetName val="PNP_Op+Aj+Am7"/>
      <sheetName val="PNP_Ajudante+Amarrador7"/>
      <sheetName val="Entity_Drill_Down7"/>
      <sheetName val="drop_down_list7"/>
      <sheetName val="Anex_177"/>
      <sheetName val="Absenteísmo_20187"/>
      <sheetName val="Input_sheet7"/>
      <sheetName val="Estructura_SAP7"/>
      <sheetName val="Factor_8_Oz7"/>
      <sheetName val="control_sheet7"/>
      <sheetName val="NO_BORRAR7"/>
      <sheetName val="BD_SEGUIM7"/>
      <sheetName val="Seguimiento_de_Personal7"/>
      <sheetName val="Personal_REp7"/>
      <sheetName val="Nominales_196"/>
      <sheetName val="DATOS_PARA_INTERPOLACION6"/>
      <sheetName val="DPN_VALUE6"/>
      <sheetName val="Brand_Analysis_(1)6"/>
      <sheetName val="BF_Database6"/>
      <sheetName val="BF_PL316"/>
      <sheetName val="Administrative_Information6"/>
      <sheetName val="Appendix_66"/>
      <sheetName val="SAP_info6"/>
      <sheetName val="EERR_12-036"/>
      <sheetName val="Comparativa_PLP_(Ene17_Ene18)6"/>
      <sheetName val="Tarifas_Base_20196"/>
      <sheetName val="Comparativa_y_análisis6"/>
      <sheetName val="Factores_de_crecimiento6"/>
      <sheetName val="Datos_nov18-ago196"/>
      <sheetName val="Compara_PLP_2018vs196"/>
      <sheetName val="Cierre_2019_8+46"/>
      <sheetName val="Efecto_del_PIB_2019_TARYET6"/>
      <sheetName val="Bal_Comp_6"/>
      <sheetName val="chiet_tinh6"/>
      <sheetName val="Bloomberg_bonds5"/>
      <sheetName val="SM_NFG_+_12_meses5"/>
      <sheetName val="dep_pre4"/>
      <sheetName val="Overview_Waterfall4"/>
      <sheetName val="SDCA_Checkpoint3"/>
      <sheetName val="Step_013"/>
      <sheetName val="Problem_Statement3"/>
      <sheetName val="ITF_Page3"/>
      <sheetName val="PDCA_Page3"/>
      <sheetName val="Current_Time_Series3"/>
      <sheetName val="Time_Series_Trap3"/>
      <sheetName val="KPI_Tree3"/>
      <sheetName val="Customers_Voice3"/>
      <sheetName val="Step_023"/>
      <sheetName val="Histogram_(2)3"/>
      <sheetName val="Data_Collection_Plan3"/>
      <sheetName val="Tree_Diagram3"/>
      <sheetName val="Additional_Data_Tab3"/>
      <sheetName val="Step_33"/>
      <sheetName val="Cause_and_Effect3"/>
      <sheetName val="5_WHYs3"/>
      <sheetName val="Process_Mapping3"/>
      <sheetName val="Dispersion_Chart3"/>
      <sheetName val="Dispersion_Chart_(2)3"/>
      <sheetName val="Dispersion_Chart_(3)3"/>
      <sheetName val="Control_Letter3"/>
      <sheetName val="Control_Letter_(2)3"/>
      <sheetName val="Control_Letter_(3)3"/>
      <sheetName val="Additional_Data_Tab_(2)3"/>
      <sheetName val="Step_043"/>
      <sheetName val="Impact_Matrix3"/>
      <sheetName val="Action_Plan3"/>
      <sheetName val="Step_53"/>
      <sheetName val="Step_63"/>
      <sheetName val="Results_Check3"/>
      <sheetName val="Step_73"/>
      <sheetName val="Risk_Analysis3"/>
      <sheetName val="Step_83"/>
      <sheetName val="SDCA_Implementation3"/>
      <sheetName val="Indicadores_Econômicos20"/>
      <sheetName val="Datas_de_Divulgação20"/>
      <sheetName val="Indicadores_Bloomberg20"/>
      <sheetName val="Estimativa__IP20"/>
      <sheetName val="Tx_Juros_Efetivas20"/>
      <sheetName val="Valor_de_Mercado20"/>
      <sheetName val="Pop__Eco__At_20"/>
      <sheetName val="Brazil_Sovereign20"/>
      <sheetName val="Dados_BLP20"/>
      <sheetName val="Indicadores_Economicos18"/>
      <sheetName val="Share_Price_200218"/>
      <sheetName val="VOLUME_CA17"/>
      <sheetName val="2001_10_Cerv17"/>
      <sheetName val="PLAN_SAC_Cerveja17"/>
      <sheetName val="PLAN_SAC_RefrigeNanc17"/>
      <sheetName val="2001_04_Cerv17"/>
      <sheetName val="Farol_SAC_Cerveja17"/>
      <sheetName val="2001_04_Nanc17"/>
      <sheetName val="Farol_SAC_Refrigenanc17"/>
      <sheetName val="Base_PEF17"/>
      <sheetName val="Labatt_Shares17"/>
      <sheetName val="Balance_Fin_ajust_200417"/>
      <sheetName val="CAD_Month17"/>
      <sheetName val="CAD_YE17"/>
      <sheetName val="US_Month_17"/>
      <sheetName val="US_Month_-_Crowns17"/>
      <sheetName val="US_YE_-_Crowns17"/>
      <sheetName val="Distribution_from_BU16"/>
      <sheetName val="Sig_Cycles_Accts_&amp;_Processes16"/>
      <sheetName val="base_bradesco16"/>
      <sheetName val="Comparativo_99X0016"/>
      <sheetName val="PLAN_DE_ACCION16"/>
      <sheetName val="Calc_116"/>
      <sheetName val="Base_da_Datos16"/>
      <sheetName val="5_115"/>
      <sheetName val="1_0_LIST14"/>
      <sheetName val="BU_Caribe14"/>
      <sheetName val="EI_Calc14"/>
      <sheetName val="BASE_REAL14"/>
      <sheetName val="2RF98_(Mkt_9%)14"/>
      <sheetName val="Infos_Empresas14"/>
      <sheetName val="Load_Data13"/>
      <sheetName val="General_Downloads13"/>
      <sheetName val="Data_Input13"/>
      <sheetName val="TASAS_211"/>
      <sheetName val="Operação_teste_26A_11"/>
      <sheetName val="RG_Depots11"/>
      <sheetName val="I__INICIO11"/>
      <sheetName val="Resumo_(x)_Contab__11"/>
      <sheetName val="FJJX_Bud_IB9"/>
      <sheetName val="Datos_MES8"/>
      <sheetName val="Tabla_prod8"/>
      <sheetName val="%_FRETEIRO_(S_26)8"/>
      <sheetName val="PNP_Op+Aj+Am8"/>
      <sheetName val="PNP_Ajudante+Amarrador8"/>
      <sheetName val="Entity_Drill_Down8"/>
      <sheetName val="drop_down_list8"/>
      <sheetName val="Anex_178"/>
      <sheetName val="Absenteísmo_20188"/>
      <sheetName val="Input_sheet8"/>
      <sheetName val="Estructura_SAP8"/>
      <sheetName val="Factor_8_Oz8"/>
      <sheetName val="control_sheet8"/>
      <sheetName val="NO_BORRAR8"/>
      <sheetName val="BD_SEGUIM8"/>
      <sheetName val="Seguimiento_de_Personal8"/>
      <sheetName val="Personal_REp8"/>
      <sheetName val="Nominales_197"/>
      <sheetName val="DATOS_PARA_INTERPOLACION7"/>
      <sheetName val="DPN_VALUE7"/>
      <sheetName val="Brand_Analysis_(1)7"/>
      <sheetName val="BF_Database7"/>
      <sheetName val="BF_PL317"/>
      <sheetName val="Administrative_Information7"/>
      <sheetName val="Appendix_67"/>
      <sheetName val="SAP_info7"/>
      <sheetName val="EERR_12-037"/>
      <sheetName val="Comparativa_PLP_(Ene17_Ene18)7"/>
      <sheetName val="Tarifas_Base_20197"/>
      <sheetName val="Comparativa_y_análisis7"/>
      <sheetName val="Factores_de_crecimiento7"/>
      <sheetName val="Datos_nov18-ago197"/>
      <sheetName val="Compara_PLP_2018vs197"/>
      <sheetName val="Cierre_2019_8+47"/>
      <sheetName val="Efecto_del_PIB_2019_TARYET7"/>
      <sheetName val="Bal_Comp_7"/>
      <sheetName val="chiet_tinh7"/>
      <sheetName val="Bloomberg_bonds6"/>
      <sheetName val="SM_NFG_+_12_meses6"/>
      <sheetName val="dep_pre5"/>
      <sheetName val="Overview_Waterfall5"/>
      <sheetName val="SDCA_Checkpoint4"/>
      <sheetName val="Step_014"/>
      <sheetName val="Problem_Statement4"/>
      <sheetName val="ITF_Page4"/>
      <sheetName val="PDCA_Page4"/>
      <sheetName val="Current_Time_Series4"/>
      <sheetName val="Time_Series_Trap4"/>
      <sheetName val="KPI_Tree4"/>
      <sheetName val="Customers_Voice4"/>
      <sheetName val="Step_024"/>
      <sheetName val="Histogram_(2)4"/>
      <sheetName val="Data_Collection_Plan4"/>
      <sheetName val="Tree_Diagram4"/>
      <sheetName val="Additional_Data_Tab4"/>
      <sheetName val="Step_34"/>
      <sheetName val="Cause_and_Effect4"/>
      <sheetName val="5_WHYs4"/>
      <sheetName val="Process_Mapping4"/>
      <sheetName val="Dispersion_Chart4"/>
      <sheetName val="Dispersion_Chart_(2)4"/>
      <sheetName val="Dispersion_Chart_(3)4"/>
      <sheetName val="Control_Letter4"/>
      <sheetName val="Control_Letter_(2)4"/>
      <sheetName val="Control_Letter_(3)4"/>
      <sheetName val="Additional_Data_Tab_(2)4"/>
      <sheetName val="Step_044"/>
      <sheetName val="Impact_Matrix4"/>
      <sheetName val="Action_Plan4"/>
      <sheetName val="Step_54"/>
      <sheetName val="Step_64"/>
      <sheetName val="Results_Check4"/>
      <sheetName val="Step_74"/>
      <sheetName val="Risk_Analysis4"/>
      <sheetName val="Step_84"/>
      <sheetName val="SDCA_Implementation4"/>
      <sheetName val="Indicadores_Econômicos21"/>
      <sheetName val="Datas_de_Divulgação21"/>
      <sheetName val="Indicadores_Bloomberg21"/>
      <sheetName val="Estimativa__IP21"/>
      <sheetName val="Tx_Juros_Efetivas21"/>
      <sheetName val="Valor_de_Mercado21"/>
      <sheetName val="Pop__Eco__At_21"/>
      <sheetName val="Brazil_Sovereign21"/>
      <sheetName val="Dados_BLP21"/>
      <sheetName val="Indicadores_Economicos19"/>
      <sheetName val="Share_Price_200219"/>
      <sheetName val="VOLUME_CA18"/>
      <sheetName val="2001_10_Cerv18"/>
      <sheetName val="PLAN_SAC_Cerveja18"/>
      <sheetName val="PLAN_SAC_RefrigeNanc18"/>
      <sheetName val="2001_04_Cerv18"/>
      <sheetName val="Farol_SAC_Cerveja18"/>
      <sheetName val="2001_04_Nanc18"/>
      <sheetName val="Farol_SAC_Refrigenanc18"/>
      <sheetName val="Base_PEF18"/>
      <sheetName val="Labatt_Shares18"/>
      <sheetName val="Balance_Fin_ajust_200418"/>
      <sheetName val="CAD_Month18"/>
      <sheetName val="CAD_YE18"/>
      <sheetName val="US_Month_18"/>
      <sheetName val="US_Month_-_Crowns18"/>
      <sheetName val="US_YE_-_Crowns18"/>
      <sheetName val="Distribution_from_BU17"/>
      <sheetName val="Sig_Cycles_Accts_&amp;_Processes17"/>
      <sheetName val="base_bradesco17"/>
      <sheetName val="Comparativo_99X0017"/>
      <sheetName val="PLAN_DE_ACCION17"/>
      <sheetName val="Calc_117"/>
      <sheetName val="Base_da_Datos17"/>
      <sheetName val="5_116"/>
      <sheetName val="1_0_LIST15"/>
      <sheetName val="BU_Caribe15"/>
      <sheetName val="EI_Calc15"/>
      <sheetName val="BASE_REAL15"/>
      <sheetName val="2RF98_(Mkt_9%)15"/>
      <sheetName val="Infos_Empresas15"/>
      <sheetName val="Load_Data14"/>
      <sheetName val="General_Downloads14"/>
      <sheetName val="Data_Input14"/>
      <sheetName val="TASAS_212"/>
      <sheetName val="Operação_teste_26A_12"/>
      <sheetName val="RG_Depots12"/>
      <sheetName val="I__INICIO12"/>
      <sheetName val="Resumo_(x)_Contab__12"/>
      <sheetName val="FJJX_Bud_IB10"/>
      <sheetName val="Datos_MES9"/>
      <sheetName val="Tabla_prod9"/>
      <sheetName val="%_FRETEIRO_(S_26)9"/>
      <sheetName val="PNP_Op+Aj+Am9"/>
      <sheetName val="PNP_Ajudante+Amarrador9"/>
      <sheetName val="Entity_Drill_Down9"/>
      <sheetName val="drop_down_list9"/>
      <sheetName val="Anex_179"/>
      <sheetName val="Absenteísmo_20189"/>
      <sheetName val="Input_sheet9"/>
      <sheetName val="Estructura_SAP9"/>
      <sheetName val="Factor_8_Oz9"/>
      <sheetName val="control_sheet9"/>
      <sheetName val="NO_BORRAR9"/>
      <sheetName val="BD_SEGUIM9"/>
      <sheetName val="Seguimiento_de_Personal9"/>
      <sheetName val="Personal_REp9"/>
      <sheetName val="Nominales_198"/>
      <sheetName val="DATOS_PARA_INTERPOLACION8"/>
      <sheetName val="DPN_VALUE8"/>
      <sheetName val="Brand_Analysis_(1)8"/>
      <sheetName val="BF_Database8"/>
      <sheetName val="BF_PL318"/>
      <sheetName val="Administrative_Information8"/>
      <sheetName val="Appendix_68"/>
      <sheetName val="SAP_info8"/>
      <sheetName val="EERR_12-038"/>
      <sheetName val="Comparativa_PLP_(Ene17_Ene18)8"/>
      <sheetName val="Tarifas_Base_20198"/>
      <sheetName val="Comparativa_y_análisis8"/>
      <sheetName val="Factores_de_crecimiento8"/>
      <sheetName val="Datos_nov18-ago198"/>
      <sheetName val="Compara_PLP_2018vs198"/>
      <sheetName val="Cierre_2019_8+48"/>
      <sheetName val="Efecto_del_PIB_2019_TARYET8"/>
      <sheetName val="Bal_Comp_8"/>
      <sheetName val="chiet_tinh8"/>
      <sheetName val="Bloomberg_bonds7"/>
      <sheetName val="SM_NFG_+_12_meses7"/>
      <sheetName val="dep_pre6"/>
      <sheetName val="Overview_Waterfall6"/>
      <sheetName val="SDCA_Checkpoint5"/>
      <sheetName val="Step_015"/>
      <sheetName val="Problem_Statement5"/>
      <sheetName val="ITF_Page5"/>
      <sheetName val="PDCA_Page5"/>
      <sheetName val="Current_Time_Series5"/>
      <sheetName val="Time_Series_Trap5"/>
      <sheetName val="KPI_Tree5"/>
      <sheetName val="Customers_Voice5"/>
      <sheetName val="Step_025"/>
      <sheetName val="Histogram_(2)5"/>
      <sheetName val="Data_Collection_Plan5"/>
      <sheetName val="Tree_Diagram5"/>
      <sheetName val="Additional_Data_Tab5"/>
      <sheetName val="Step_35"/>
      <sheetName val="Cause_and_Effect5"/>
      <sheetName val="5_WHYs5"/>
      <sheetName val="Process_Mapping5"/>
      <sheetName val="Dispersion_Chart5"/>
      <sheetName val="Dispersion_Chart_(2)5"/>
      <sheetName val="Dispersion_Chart_(3)5"/>
      <sheetName val="Control_Letter5"/>
      <sheetName val="Control_Letter_(2)5"/>
      <sheetName val="Control_Letter_(3)5"/>
      <sheetName val="Additional_Data_Tab_(2)5"/>
      <sheetName val="Step_045"/>
      <sheetName val="Impact_Matrix5"/>
      <sheetName val="Action_Plan5"/>
      <sheetName val="Step_55"/>
      <sheetName val="Step_65"/>
      <sheetName val="Results_Check5"/>
      <sheetName val="Step_75"/>
      <sheetName val="Risk_Analysis5"/>
      <sheetName val="Step_85"/>
      <sheetName val="SDCA_Implementation5"/>
      <sheetName val="Real_2018"/>
      <sheetName val="Indicadores_Econômicos22"/>
      <sheetName val="Datas_de_Divulgação22"/>
      <sheetName val="Indicadores_Bloomberg22"/>
      <sheetName val="Estimativa__IP22"/>
      <sheetName val="Tx_Juros_Efetivas22"/>
      <sheetName val="Valor_de_Mercado22"/>
      <sheetName val="Pop__Eco__At_22"/>
      <sheetName val="Brazil_Sovereign22"/>
      <sheetName val="Dados_BLP22"/>
      <sheetName val="Indicadores_Economicos20"/>
      <sheetName val="Share_Price_200220"/>
      <sheetName val="VOLUME_CA19"/>
      <sheetName val="2001_10_Cerv19"/>
      <sheetName val="PLAN_SAC_Cerveja19"/>
      <sheetName val="PLAN_SAC_RefrigeNanc19"/>
      <sheetName val="2001_04_Cerv19"/>
      <sheetName val="Farol_SAC_Cerveja19"/>
      <sheetName val="2001_04_Nanc19"/>
      <sheetName val="Farol_SAC_Refrigenanc19"/>
      <sheetName val="Base_PEF19"/>
      <sheetName val="Labatt_Shares19"/>
      <sheetName val="Balance_Fin_ajust_200419"/>
      <sheetName val="CAD_Month19"/>
      <sheetName val="CAD_YE19"/>
      <sheetName val="US_Month_19"/>
      <sheetName val="US_Month_-_Crowns19"/>
      <sheetName val="US_YE_-_Crowns19"/>
      <sheetName val="Distribution_from_BU18"/>
      <sheetName val="Sig_Cycles_Accts_&amp;_Processes18"/>
      <sheetName val="base_bradesco18"/>
      <sheetName val="Comparativo_99X0018"/>
      <sheetName val="PLAN_DE_ACCION18"/>
      <sheetName val="Calc_118"/>
      <sheetName val="Base_da_Datos18"/>
      <sheetName val="5_117"/>
      <sheetName val="1_0_LIST16"/>
      <sheetName val="BU_Caribe16"/>
      <sheetName val="EI_Calc16"/>
      <sheetName val="BASE_REAL16"/>
      <sheetName val="2RF98_(Mkt_9%)16"/>
      <sheetName val="Infos_Empresas16"/>
      <sheetName val="Load_Data15"/>
      <sheetName val="General_Downloads15"/>
      <sheetName val="Data_Input15"/>
      <sheetName val="TASAS_213"/>
      <sheetName val="Operação_teste_26A_13"/>
      <sheetName val="RG_Depots13"/>
      <sheetName val="I__INICIO13"/>
      <sheetName val="Resumo_(x)_Contab__13"/>
      <sheetName val="FJJX_Bud_IB11"/>
      <sheetName val="Datos_MES10"/>
      <sheetName val="Tabla_prod10"/>
      <sheetName val="%_FRETEIRO_(S_26)10"/>
      <sheetName val="PNP_Op+Aj+Am10"/>
      <sheetName val="PNP_Ajudante+Amarrador10"/>
      <sheetName val="Entity_Drill_Down10"/>
      <sheetName val="drop_down_list10"/>
      <sheetName val="Anex_1710"/>
      <sheetName val="Absenteísmo_201810"/>
      <sheetName val="Input_sheet10"/>
      <sheetName val="Estructura_SAP10"/>
      <sheetName val="Factor_8_Oz10"/>
      <sheetName val="control_sheet10"/>
      <sheetName val="NO_BORRAR10"/>
      <sheetName val="BD_SEGUIM10"/>
      <sheetName val="Seguimiento_de_Personal10"/>
      <sheetName val="Personal_REp10"/>
      <sheetName val="Nominales_199"/>
      <sheetName val="DATOS_PARA_INTERPOLACION9"/>
      <sheetName val="DPN_VALUE9"/>
      <sheetName val="Brand_Analysis_(1)9"/>
      <sheetName val="BF_Database9"/>
      <sheetName val="BF_PL319"/>
      <sheetName val="Administrative_Information9"/>
      <sheetName val="Appendix_69"/>
      <sheetName val="SAP_info9"/>
      <sheetName val="EERR_12-039"/>
      <sheetName val="Comparativa_PLP_(Ene17_Ene18)9"/>
      <sheetName val="Tarifas_Base_20199"/>
      <sheetName val="Comparativa_y_análisis9"/>
      <sheetName val="Factores_de_crecimiento9"/>
      <sheetName val="Datos_nov18-ago199"/>
      <sheetName val="Compara_PLP_2018vs199"/>
      <sheetName val="Cierre_2019_8+49"/>
      <sheetName val="Efecto_del_PIB_2019_TARYET9"/>
      <sheetName val="Bal_Comp_9"/>
      <sheetName val="chiet_tinh9"/>
      <sheetName val="Bloomberg_bonds8"/>
      <sheetName val="SM_NFG_+_12_meses8"/>
      <sheetName val="dep_pre7"/>
      <sheetName val="Overview_Waterfall7"/>
      <sheetName val="SDCA_Checkpoint6"/>
      <sheetName val="Step_016"/>
      <sheetName val="Problem_Statement6"/>
      <sheetName val="ITF_Page6"/>
      <sheetName val="PDCA_Page6"/>
      <sheetName val="Current_Time_Series6"/>
      <sheetName val="Time_Series_Trap6"/>
      <sheetName val="KPI_Tree6"/>
      <sheetName val="Customers_Voice6"/>
      <sheetName val="Step_026"/>
      <sheetName val="Histogram_(2)6"/>
      <sheetName val="Data_Collection_Plan6"/>
      <sheetName val="Tree_Diagram6"/>
      <sheetName val="Additional_Data_Tab6"/>
      <sheetName val="Step_36"/>
      <sheetName val="Cause_and_Effect6"/>
      <sheetName val="5_WHYs6"/>
      <sheetName val="Process_Mapping6"/>
      <sheetName val="Dispersion_Chart6"/>
      <sheetName val="Dispersion_Chart_(2)6"/>
      <sheetName val="Dispersion_Chart_(3)6"/>
      <sheetName val="Control_Letter6"/>
      <sheetName val="Control_Letter_(2)6"/>
      <sheetName val="Control_Letter_(3)6"/>
      <sheetName val="Additional_Data_Tab_(2)6"/>
      <sheetName val="Step_046"/>
      <sheetName val="Impact_Matrix6"/>
      <sheetName val="Action_Plan6"/>
      <sheetName val="Step_56"/>
      <sheetName val="Step_66"/>
      <sheetName val="Results_Check6"/>
      <sheetName val="Step_76"/>
      <sheetName val="Risk_Analysis6"/>
      <sheetName val="Step_86"/>
      <sheetName val="SDCA_Implementation6"/>
      <sheetName val="Overview_NON_IND_REP_CURR"/>
      <sheetName val="Overview_NON_IND_K-EUR"/>
      <sheetName val="Overview_INDUSTRIAL_REP_CURR"/>
      <sheetName val="Overview_INDUSTRIAL_K-EUR"/>
      <sheetName val="CHARTS_ADHOC_REP_CURR"/>
      <sheetName val="CHARTS_ADHOC_K-EUR"/>
      <sheetName val="CHARTS_IGCE_REP_CURR"/>
      <sheetName val="CHARTS_IGCE_K-EUR"/>
      <sheetName val="CHARTS_ADHOC2_REP_CURR"/>
      <sheetName val="CHARTS_ADHOC2_K-EUR"/>
      <sheetName val="DIVESTMENTS_REP_CURR"/>
      <sheetName val="DIVESTMENTS_K-EUR"/>
      <sheetName val="INVESTMENTS_REP_CURR"/>
      <sheetName val="INVESTMENTS_K-EUR"/>
      <sheetName val="M3"/>
      <sheetName val="03 Individual Target - SDs"/>
      <sheetName val="MMR12活动类型"/>
      <sheetName val="Region"/>
      <sheetName val="SKU代码"/>
      <sheetName val="Territory"/>
      <sheetName val="TRCode"/>
      <sheetName val="经销商"/>
      <sheetName val="渠道"/>
      <sheetName val="1_Overview"/>
      <sheetName val="AS"/>
      <sheetName val="10IM"/>
      <sheetName val="RAW AUS"/>
      <sheetName val="RAW NZP"/>
      <sheetName val="Cockpit"/>
      <sheetName val="Qs"/>
      <sheetName val="03_Individual_Target_-_SDs"/>
      <sheetName val="RAW_AUS"/>
      <sheetName val="RAW_NZP"/>
      <sheetName val="Real_20181"/>
      <sheetName val="Query"/>
      <sheetName val="prebdg97"/>
      <sheetName val="premi96"/>
      <sheetName val="E72_2001"/>
      <sheetName val="Indices"/>
      <sheetName val="consolidado plano 100"/>
      <sheetName val="COSREF"/>
      <sheetName val="BC"/>
      <sheetName val="Società"/>
      <sheetName val="Table"/>
      <sheetName val="6 - Analítico"/>
      <sheetName val="Input"/>
      <sheetName val="BC 2009"/>
      <sheetName val="PAS"/>
      <sheetName val="Rec. Pillar (DRE Soc.)"/>
      <sheetName val="Cash basis Ago-02"/>
      <sheetName val="UV-1"/>
      <sheetName val="Indicadores_Econômicos23"/>
      <sheetName val="Datas_de_Divulgação23"/>
      <sheetName val="Indicadores_Bloomberg23"/>
      <sheetName val="Estimativa__IP23"/>
      <sheetName val="Tx_Juros_Efetivas23"/>
      <sheetName val="Valor_de_Mercado23"/>
      <sheetName val="Pop__Eco__At_23"/>
      <sheetName val="Brazil_Sovereign23"/>
      <sheetName val="Dados_BLP23"/>
      <sheetName val="Indicadores_Economicos21"/>
      <sheetName val="Share_Price_200221"/>
      <sheetName val="VOLUME_CA20"/>
      <sheetName val="2001_10_Cerv20"/>
      <sheetName val="PLAN_SAC_Cerveja20"/>
      <sheetName val="PLAN_SAC_RefrigeNanc20"/>
      <sheetName val="2001_04_Cerv20"/>
      <sheetName val="Farol_SAC_Cerveja20"/>
      <sheetName val="2001_04_Nanc20"/>
      <sheetName val="Farol_SAC_Refrigenanc20"/>
      <sheetName val="Base_PEF20"/>
      <sheetName val="Labatt_Shares20"/>
      <sheetName val="Balance_Fin_ajust_200420"/>
      <sheetName val="CAD_Month20"/>
      <sheetName val="CAD_YE20"/>
      <sheetName val="US_Month_20"/>
      <sheetName val="US_Month_-_Crowns20"/>
      <sheetName val="US_YE_-_Crowns20"/>
      <sheetName val="Sig_Cycles_Accts_&amp;_Processes19"/>
      <sheetName val="Distribution_from_BU19"/>
      <sheetName val="base_bradesco19"/>
      <sheetName val="Comparativo_99X0019"/>
      <sheetName val="PLAN_DE_ACCION19"/>
      <sheetName val="Calc_119"/>
      <sheetName val="Base_da_Datos19"/>
      <sheetName val="5_118"/>
      <sheetName val="1_0_LIST17"/>
      <sheetName val="BU_Caribe17"/>
      <sheetName val="EI_Calc17"/>
      <sheetName val="BASE_REAL17"/>
      <sheetName val="2RF98_(Mkt_9%)17"/>
      <sheetName val="Infos_Empresas17"/>
      <sheetName val="Load_Data16"/>
      <sheetName val="General_Downloads16"/>
      <sheetName val="Data_Input16"/>
      <sheetName val="TASAS_214"/>
      <sheetName val="Operação_teste_26A_14"/>
      <sheetName val="RG_Depots14"/>
      <sheetName val="I__INICIO14"/>
      <sheetName val="Resumo_(x)_Contab__14"/>
      <sheetName val="FJJX_Bud_IB12"/>
      <sheetName val="Datos_MES11"/>
      <sheetName val="Tabla_prod11"/>
      <sheetName val="%_FRETEIRO_(S_26)11"/>
      <sheetName val="PNP_Op+Aj+Am11"/>
      <sheetName val="PNP_Ajudante+Amarrador11"/>
      <sheetName val="Entity_Drill_Down11"/>
      <sheetName val="NO_BORRAR11"/>
      <sheetName val="BD_SEGUIM11"/>
      <sheetName val="Seguimiento_de_Personal11"/>
      <sheetName val="Personal_REp11"/>
      <sheetName val="drop_down_list11"/>
      <sheetName val="Anex_1711"/>
      <sheetName val="Absenteísmo_201811"/>
      <sheetName val="Input_sheet11"/>
      <sheetName val="Estructura_SAP11"/>
      <sheetName val="Factor_8_Oz11"/>
      <sheetName val="control_sheet11"/>
      <sheetName val="SAP_info10"/>
      <sheetName val="Nominales_1910"/>
      <sheetName val="DATOS_PARA_INTERPOLACION10"/>
      <sheetName val="DPN_VALUE10"/>
      <sheetName val="Brand_Analysis_(1)10"/>
      <sheetName val="BF_Database10"/>
      <sheetName val="BF_PL3110"/>
      <sheetName val="Administrative_Information10"/>
      <sheetName val="Appendix_610"/>
      <sheetName val="chiet_tinh10"/>
      <sheetName val="EERR_12-0310"/>
      <sheetName val="Comparativa_PLP_(Ene17_Ene18)10"/>
      <sheetName val="Tarifas_Base_201910"/>
      <sheetName val="Comparativa_y_análisis10"/>
      <sheetName val="Factores_de_crecimiento10"/>
      <sheetName val="Datos_nov18-ago1910"/>
      <sheetName val="Compara_PLP_2018vs1910"/>
      <sheetName val="Cierre_2019_8+410"/>
      <sheetName val="Efecto_del_PIB_2019_TARYET10"/>
      <sheetName val="Bal_Comp_10"/>
      <sheetName val="Bloomberg_bonds9"/>
      <sheetName val="SM_NFG_+_12_meses9"/>
      <sheetName val="dep_pre8"/>
      <sheetName val="Overview_Waterfall8"/>
      <sheetName val="SDCA_Checkpoint7"/>
      <sheetName val="Step_017"/>
      <sheetName val="Problem_Statement7"/>
      <sheetName val="ITF_Page7"/>
      <sheetName val="PDCA_Page7"/>
      <sheetName val="Current_Time_Series7"/>
      <sheetName val="Time_Series_Trap7"/>
      <sheetName val="KPI_Tree7"/>
      <sheetName val="Customers_Voice7"/>
      <sheetName val="Step_027"/>
      <sheetName val="Histogram_(2)7"/>
      <sheetName val="Data_Collection_Plan7"/>
      <sheetName val="Tree_Diagram7"/>
      <sheetName val="Additional_Data_Tab7"/>
      <sheetName val="Step_37"/>
      <sheetName val="Cause_and_Effect7"/>
      <sheetName val="5_WHYs7"/>
      <sheetName val="Process_Mapping7"/>
      <sheetName val="Dispersion_Chart7"/>
      <sheetName val="Dispersion_Chart_(2)7"/>
      <sheetName val="Dispersion_Chart_(3)7"/>
      <sheetName val="Control_Letter7"/>
      <sheetName val="Control_Letter_(2)7"/>
      <sheetName val="Control_Letter_(3)7"/>
      <sheetName val="Additional_Data_Tab_(2)7"/>
      <sheetName val="Step_047"/>
      <sheetName val="Impact_Matrix7"/>
      <sheetName val="Action_Plan7"/>
      <sheetName val="Step_57"/>
      <sheetName val="Step_67"/>
      <sheetName val="Results_Check7"/>
      <sheetName val="Step_77"/>
      <sheetName val="Risk_Analysis7"/>
      <sheetName val="Step_87"/>
      <sheetName val="SDCA_Implementation7"/>
      <sheetName val="Real_20182"/>
      <sheetName val="Carteira_Ações"/>
      <sheetName val="Operaciones"/>
      <sheetName val="Biscuits "/>
      <sheetName val="Dry Mixes"/>
      <sheetName val="Pastas"/>
      <sheetName val="03_Individual_Target_-_SDs1"/>
      <sheetName val="RAW_AUS1"/>
      <sheetName val="RAW_NZP1"/>
      <sheetName val="은행"/>
      <sheetName val="Target Rejection"/>
      <sheetName val="Package_Subpackage"/>
      <sheetName val="Model Inputs"/>
      <sheetName val="Instructions"/>
      <sheetName val="calcs"/>
      <sheetName val="Selection_Setting"/>
      <sheetName val="Sheet3"/>
      <sheetName val="Misc Cap"/>
      <sheetName val="LEGAL GUJ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 refreshError="1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 refreshError="1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/>
      <sheetData sheetId="689"/>
      <sheetData sheetId="690"/>
      <sheetData sheetId="691"/>
      <sheetData sheetId="692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/>
      <sheetData sheetId="1951"/>
      <sheetData sheetId="1952"/>
      <sheetData sheetId="1953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 refreshError="1"/>
      <sheetData sheetId="2100" refreshError="1"/>
      <sheetData sheetId="2101" refreshError="1"/>
      <sheetData sheetId="2102" refreshError="1"/>
      <sheetData sheetId="2103"/>
      <sheetData sheetId="2104"/>
      <sheetData sheetId="2105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nchmark"/>
      <sheetName val="Cálculos"/>
      <sheetName val="Dados BLP"/>
      <sheetName val="CDI Acumulado"/>
      <sheetName val="Bloomberg"/>
      <sheetName val="Holidays"/>
      <sheetName val="BLP"/>
      <sheetName val="Curve"/>
      <sheetName val="Registro"/>
      <sheetName val="Brazil Sovereign"/>
      <sheetName val="Dados_BLP"/>
      <sheetName val="CDI_Acumulado"/>
      <sheetName val="Plano_3G"/>
      <sheetName val="Benchmark BLPV2"/>
      <sheetName val="CADASTRO"/>
      <sheetName val="TABELAS"/>
      <sheetName val="DIST"/>
      <sheetName val="MALHAD"/>
      <sheetName val="PUXADIA"/>
      <sheetName val="Base PEF"/>
      <sheetName val="MKT_Terr"/>
      <sheetName val="Lists"/>
      <sheetName val="KF6"/>
      <sheetName val="Dados_BLP1"/>
      <sheetName val="CDI_Acumulado1"/>
      <sheetName val="Brazil_Sovereign"/>
      <sheetName val="Benchmark_BLPV2"/>
      <sheetName val="COTAÇÕES"/>
      <sheetName val="Sheet1"/>
      <sheetName val="TARJETAS BLANCAS"/>
      <sheetName val="POA"/>
      <sheetName val="Dados_BLP2"/>
      <sheetName val="CDI_Acumulado2"/>
      <sheetName val="Brazil_Sovereign1"/>
      <sheetName val="Benchmark_BLPV21"/>
      <sheetName val="Base_PEF"/>
      <sheetName val="TARJETAS_BLANCAS"/>
      <sheetName val="bud99"/>
      <sheetName val="2001.10 Cerv"/>
      <sheetName val="PLAN SAC Cerveja"/>
      <sheetName val="PLAN SAC RefrigeNanc"/>
      <sheetName val="Relatório SDG"/>
      <sheetName val="BaseCerv"/>
      <sheetName val="BaseNanc"/>
      <sheetName val="2001.04 Cerv"/>
      <sheetName val="Farol SAC Cerveja"/>
      <sheetName val="2001.04 Nanc"/>
      <sheetName val="Farol SAC Refrigenanc"/>
      <sheetName val=""/>
      <sheetName val="MOL"/>
      <sheetName val="CLASIFICACION DE AI"/>
      <sheetName val="StartSheet"/>
      <sheetName val="Cover &amp; Parameters"/>
      <sheetName val="Dados_BLP3"/>
      <sheetName val="CDI_Acumulado3"/>
      <sheetName val="Brazil_Sovereign2"/>
      <sheetName val="Benchmark_BLPV22"/>
      <sheetName val="Base_PEF1"/>
      <sheetName val="TARJETAS_BLANCAS1"/>
      <sheetName val="2001_10_Cerv"/>
      <sheetName val="PLAN_SAC_Cerveja"/>
      <sheetName val="PLAN_SAC_RefrigeNanc"/>
      <sheetName val="Relatório_SDG"/>
      <sheetName val="2001_04_Cerv"/>
      <sheetName val="Farol_SAC_Cerveja"/>
      <sheetName val="2001_04_Nanc"/>
      <sheetName val="Farol_SAC_Refrigenanc"/>
      <sheetName val="CLASIFICACION_DE_AI"/>
      <sheetName val="Cover_&amp;_Parameters"/>
      <sheetName val="Dados_BLP4"/>
      <sheetName val="CDI_Acumulado4"/>
      <sheetName val="Brazil_Sovereign3"/>
      <sheetName val="Benchmark_BLPV23"/>
      <sheetName val="Base_PEF2"/>
      <sheetName val="TARJETAS_BLANCAS2"/>
      <sheetName val="2001_10_Cerv1"/>
      <sheetName val="PLAN_SAC_Cerveja1"/>
      <sheetName val="PLAN_SAC_RefrigeNanc1"/>
      <sheetName val="Relatório_SDG1"/>
      <sheetName val="2001_04_Cerv1"/>
      <sheetName val="Farol_SAC_Cerveja1"/>
      <sheetName val="2001_04_Nanc1"/>
      <sheetName val="Farol_SAC_Refrigenanc1"/>
      <sheetName val="CLASIFICACION_DE_AI1"/>
      <sheetName val="Cover_&amp;_Parameters1"/>
      <sheetName val="Share Price 2002"/>
      <sheetName val="은행"/>
      <sheetName val="PM"/>
      <sheetName val="dep pre"/>
      <sheetName val="Calc 1"/>
      <sheetName val="BDS"/>
      <sheetName val="Gente_gestao"/>
      <sheetName val="Dados_BLP5"/>
      <sheetName val="CDI_Acumulado5"/>
      <sheetName val="Brazil_Sovereign4"/>
      <sheetName val="Benchmark_BLPV24"/>
      <sheetName val="Base_PEF3"/>
      <sheetName val="TARJETAS_BLANCAS3"/>
      <sheetName val="2001_10_Cerv2"/>
      <sheetName val="PLAN_SAC_Cerveja2"/>
      <sheetName val="PLAN_SAC_RefrigeNanc2"/>
      <sheetName val="Relatório_SDG2"/>
      <sheetName val="2001_04_Cerv2"/>
      <sheetName val="Farol_SAC_Cerveja2"/>
      <sheetName val="2001_04_Nanc2"/>
      <sheetName val="Farol_SAC_Refrigenanc2"/>
      <sheetName val="CLASIFICACION_DE_AI2"/>
      <sheetName val="Cover_&amp;_Parameters2"/>
      <sheetName val="Share_Price_2002"/>
      <sheetName val="dep_pre"/>
      <sheetName val="Calc_1"/>
      <sheetName val="Cost Leadership Capex Inv."/>
      <sheetName val="ponderacion"/>
      <sheetName val="drop-down-list"/>
      <sheetName val="Dados_BLP6"/>
      <sheetName val="CDI_Acumulado6"/>
      <sheetName val="Brazil_Sovereign5"/>
      <sheetName val="Benchmark_BLPV25"/>
      <sheetName val="Base_PEF4"/>
      <sheetName val="TARJETAS_BLANCAS4"/>
      <sheetName val="2001_10_Cerv3"/>
      <sheetName val="PLAN_SAC_Cerveja3"/>
      <sheetName val="PLAN_SAC_RefrigeNanc3"/>
      <sheetName val="Relatório_SDG3"/>
      <sheetName val="2001_04_Cerv3"/>
      <sheetName val="Farol_SAC_Cerveja3"/>
      <sheetName val="2001_04_Nanc3"/>
      <sheetName val="Farol_SAC_Refrigenanc3"/>
      <sheetName val="CLASIFICACION_DE_AI3"/>
      <sheetName val="Cover_&amp;_Parameters3"/>
      <sheetName val="Share_Price_20021"/>
      <sheetName val="dep_pre1"/>
      <sheetName val="Calc_11"/>
      <sheetName val="Cost_Leadership_Capex_Inv_"/>
      <sheetName val="Dados_BLP7"/>
      <sheetName val="CDI_Acumulado7"/>
      <sheetName val="Brazil_Sovereign6"/>
      <sheetName val="Benchmark_BLPV26"/>
      <sheetName val="Base_PEF5"/>
      <sheetName val="TARJETAS_BLANCAS5"/>
      <sheetName val="2001_10_Cerv4"/>
      <sheetName val="PLAN_SAC_Cerveja4"/>
      <sheetName val="PLAN_SAC_RefrigeNanc4"/>
      <sheetName val="Relatório_SDG4"/>
      <sheetName val="2001_04_Cerv4"/>
      <sheetName val="Farol_SAC_Cerveja4"/>
      <sheetName val="2001_04_Nanc4"/>
      <sheetName val="Farol_SAC_Refrigenanc4"/>
      <sheetName val="CLASIFICACION_DE_AI4"/>
      <sheetName val="Cover_&amp;_Parameters4"/>
      <sheetName val="Share_Price_20022"/>
      <sheetName val="dep_pre2"/>
      <sheetName val="Calc_12"/>
      <sheetName val="Cost_Leadership_Capex_Inv_1"/>
      <sheetName val="I. INICIO"/>
      <sheetName val="Linearidade do resultado"/>
      <sheetName val="Curva do índice"/>
      <sheetName val="MasterData"/>
      <sheetName val="Drop down list"/>
      <sheetName val="RSM(01월)"/>
      <sheetName val="LE(12월)"/>
      <sheetName val="12월 판매(권역)"/>
      <sheetName val="특별선전품"/>
      <sheetName val="일별판매"/>
      <sheetName val="Sheet6"/>
      <sheetName val="2월예산(지점)"/>
      <sheetName val="채권(01월)"/>
      <sheetName val="채권(02월)"/>
      <sheetName val="Sheet8"/>
      <sheetName val="CRM"/>
      <sheetName val="상품권"/>
      <sheetName val="선전품추가요청"/>
      <sheetName val="일별계획(판매)"/>
      <sheetName val="D_1"/>
      <sheetName val="오비라거출하"/>
      <sheetName val="KWAM"/>
      <sheetName val="채권(12월)"/>
      <sheetName val="채권(8월)"/>
      <sheetName val="Sheet7"/>
      <sheetName val="채권(9월)"/>
      <sheetName val="채권(10월)"/>
      <sheetName val="채권(11월)"/>
      <sheetName val="일량"/>
      <sheetName val="대박"/>
      <sheetName val="Sheet4"/>
      <sheetName val="N&amp;S"/>
      <sheetName val="배정관련"/>
      <sheetName val="이슈재고"/>
      <sheetName val="Sheet10"/>
      <sheetName val="Sheet11"/>
      <sheetName val="Sheet12"/>
      <sheetName val="Sheet13"/>
      <sheetName val="Sheet14"/>
      <sheetName val="7월예산(지점) (2)"/>
      <sheetName val="안내문(두리)"/>
      <sheetName val="kpi(7월 Activity)"/>
      <sheetName val="하계휴가"/>
      <sheetName val="선전품추가지원요청"/>
      <sheetName val=" 7월LE 및 재고"/>
      <sheetName val=" 8월재고"/>
      <sheetName val=" 8월재고 (2)"/>
      <sheetName val="Sheet5"/>
      <sheetName val="차량광고(일망타진)"/>
      <sheetName val="5월연체목표"/>
      <sheetName val="7월연체목표"/>
      <sheetName val="산호신동"/>
      <sheetName val="Wet_Sampling"/>
      <sheetName val="담당자변경"/>
      <sheetName val="JBP5월"/>
      <sheetName val="Operation Target(중앙)"/>
      <sheetName val="5월판매계획BBB"/>
      <sheetName val="5월판매계획RBB"/>
      <sheetName val="Bud 여행Program"/>
      <sheetName val="Sheet2"/>
      <sheetName val="신정럭키"/>
      <sheetName val="유예산비중"/>
      <sheetName val="월마감 예상"/>
      <sheetName val="Sheet3"/>
      <sheetName val="jbp"/>
      <sheetName val="HE JBP"/>
      <sheetName val="HE생 확산계획"/>
      <sheetName val="BBB"/>
      <sheetName val="사입계획"/>
      <sheetName val="사전주문리스트"/>
      <sheetName val="변동업소"/>
      <sheetName val="RegionPM(3월)"/>
      <sheetName val="대신.대은"/>
      <sheetName val="백억주류"/>
      <sheetName val="4월연체목표"/>
      <sheetName val="3월연체실적"/>
      <sheetName val="3월연체목표"/>
      <sheetName val="AR Issue"/>
      <sheetName val="risk MS"/>
      <sheetName val="risk Vol"/>
      <sheetName val="Données LMU"/>
      <sheetName val="Dados_BLP8"/>
      <sheetName val="CDI_Acumulado8"/>
      <sheetName val="Brazil_Sovereign7"/>
      <sheetName val="Benchmark_BLPV27"/>
      <sheetName val="Base_PEF6"/>
      <sheetName val="TARJETAS_BLANCAS6"/>
      <sheetName val="2001_10_Cerv5"/>
      <sheetName val="PLAN_SAC_Cerveja5"/>
      <sheetName val="PLAN_SAC_RefrigeNanc5"/>
      <sheetName val="Relatório_SDG5"/>
      <sheetName val="2001_04_Cerv5"/>
      <sheetName val="Farol_SAC_Cerveja5"/>
      <sheetName val="2001_04_Nanc5"/>
      <sheetName val="Farol_SAC_Refrigenanc5"/>
      <sheetName val="CLASIFICACION_DE_AI5"/>
      <sheetName val="Cover_&amp;_Parameters5"/>
      <sheetName val="Share_Price_20023"/>
      <sheetName val="dep_pre3"/>
      <sheetName val="Calc_13"/>
      <sheetName val="Cost_Leadership_Capex_Inv_2"/>
      <sheetName val="Linearidade_do_resultado"/>
      <sheetName val="Curva_do_índice"/>
      <sheetName val="Drop_down_list"/>
      <sheetName val="12월_판매(권역)"/>
      <sheetName val="7월예산(지점)_(2)"/>
      <sheetName val="kpi(7월_Activity)"/>
      <sheetName val="_7월LE_및_재고"/>
      <sheetName val="_8월재고"/>
      <sheetName val="_8월재고_(2)"/>
      <sheetName val="Operation_Target(중앙)"/>
      <sheetName val="Bud_여행Program"/>
      <sheetName val="월마감_예상"/>
      <sheetName val="HE_JBP"/>
      <sheetName val="HE생_확산계획"/>
      <sheetName val="대신_대은"/>
      <sheetName val="AR_Issue"/>
      <sheetName val="risk_MS"/>
      <sheetName val="risk_Vol"/>
      <sheetName val="Données_LMU"/>
      <sheetName val="Dados_BLP10"/>
      <sheetName val="CDI_Acumulado10"/>
      <sheetName val="Brazil_Sovereign9"/>
      <sheetName val="Benchmark_BLPV29"/>
      <sheetName val="Base_PEF8"/>
      <sheetName val="TARJETAS_BLANCAS8"/>
      <sheetName val="2001_10_Cerv7"/>
      <sheetName val="PLAN_SAC_Cerveja7"/>
      <sheetName val="PLAN_SAC_RefrigeNanc7"/>
      <sheetName val="Relatório_SDG7"/>
      <sheetName val="2001_04_Cerv7"/>
      <sheetName val="Farol_SAC_Cerveja7"/>
      <sheetName val="2001_04_Nanc7"/>
      <sheetName val="Farol_SAC_Refrigenanc7"/>
      <sheetName val="CLASIFICACION_DE_AI7"/>
      <sheetName val="Cover_&amp;_Parameters7"/>
      <sheetName val="Dados_BLP9"/>
      <sheetName val="CDI_Acumulado9"/>
      <sheetName val="Brazil_Sovereign8"/>
      <sheetName val="Benchmark_BLPV28"/>
      <sheetName val="Base_PEF7"/>
      <sheetName val="TARJETAS_BLANCAS7"/>
      <sheetName val="2001_10_Cerv6"/>
      <sheetName val="PLAN_SAC_Cerveja6"/>
      <sheetName val="PLAN_SAC_RefrigeNanc6"/>
      <sheetName val="Relatório_SDG6"/>
      <sheetName val="2001_04_Cerv6"/>
      <sheetName val="Farol_SAC_Cerveja6"/>
      <sheetName val="2001_04_Nanc6"/>
      <sheetName val="Farol_SAC_Refrigenanc6"/>
      <sheetName val="CLASIFICACION_DE_AI6"/>
      <sheetName val="Cover_&amp;_Parameters6"/>
      <sheetName val="Share_Price_20024"/>
      <sheetName val="dep_pre4"/>
      <sheetName val="Calc_14"/>
      <sheetName val="Cost_Leadership_Capex_Inv_3"/>
      <sheetName val="Linearidade_do_resultado1"/>
      <sheetName val="Curva_do_índice1"/>
      <sheetName val="Drop_down_list1"/>
      <sheetName val="12월_판매(권역)1"/>
      <sheetName val="7월예산(지점)_(2)1"/>
      <sheetName val="kpi(7월_Activity)1"/>
      <sheetName val="_7월LE_및_재고1"/>
      <sheetName val="_8월재고1"/>
      <sheetName val="_8월재고_(2)1"/>
      <sheetName val="Operation_Target(중앙)1"/>
      <sheetName val="Bud_여행Program1"/>
      <sheetName val="월마감_예상1"/>
      <sheetName val="HE_JBP1"/>
      <sheetName val="HE생_확산계획1"/>
      <sheetName val="대신_대은1"/>
      <sheetName val="AR_Issue1"/>
      <sheetName val="risk_MS1"/>
      <sheetName val="risk_Vol1"/>
      <sheetName val="Données_LMU1"/>
      <sheetName val="Share_Price_20025"/>
      <sheetName val="dep_pre5"/>
      <sheetName val="Calc_15"/>
      <sheetName val="Cost_Leadership_Capex_Inv_4"/>
      <sheetName val="Linearidade_do_resultado2"/>
      <sheetName val="Curva_do_índice2"/>
      <sheetName val="Drop_down_list2"/>
      <sheetName val="12월_판매(권역)2"/>
      <sheetName val="7월예산(지점)_(2)2"/>
      <sheetName val="kpi(7월_Activity)2"/>
      <sheetName val="_7월LE_및_재고2"/>
      <sheetName val="_8월재고2"/>
      <sheetName val="_8월재고_(2)2"/>
      <sheetName val="Operation_Target(중앙)2"/>
      <sheetName val="Bud_여행Program2"/>
      <sheetName val="월마감_예상2"/>
      <sheetName val="HE_JBP2"/>
      <sheetName val="HE생_확산계획2"/>
      <sheetName val="대신_대은2"/>
      <sheetName val="AR_Issue2"/>
      <sheetName val="risk_MS2"/>
      <sheetName val="risk_Vol2"/>
      <sheetName val="Données_LMU2"/>
      <sheetName val="DSR_By_Region_Setting"/>
      <sheetName val="Date"/>
      <sheetName val="FJJX Bud_IB"/>
      <sheetName val="Hidden"/>
      <sheetName val="I__INICIO"/>
      <sheetName val="FX"/>
      <sheetName val="LIST"/>
      <sheetName val="CDI"/>
      <sheetName val="Feriados"/>
      <sheetName val="Report-Daily"/>
      <sheetName val="GraphData"/>
      <sheetName val="AS"/>
      <sheetName val="10IM"/>
      <sheetName val="RAW AUS"/>
      <sheetName val="RAW NZP"/>
      <sheetName val="Cockpit"/>
      <sheetName val="Qs"/>
      <sheetName val="bdic07"/>
      <sheetName val="Balance Fin ajust 2004"/>
      <sheetName val="B-111"/>
      <sheetName val="ACUMULADO"/>
      <sheetName val="Netearnanal"/>
      <sheetName val="Sig Cycles_Accts &amp; Processes"/>
      <sheetName val="Hoja2"/>
      <sheetName val="BD SEGUIM"/>
      <sheetName val="NO BORRAR"/>
      <sheetName val="Anex 17"/>
      <sheetName val="FINALPHP"/>
      <sheetName val="DATOS PARA INTERPOLACION"/>
      <sheetName val="DPN VALUE"/>
      <sheetName val="EVOLUMERCC"/>
      <sheetName val="PROM"/>
      <sheetName val="Dados_BLP11"/>
      <sheetName val="CDI_Acumulado11"/>
      <sheetName val="Brazil_Sovereign10"/>
      <sheetName val="Benchmark_BLPV210"/>
      <sheetName val="Base_PEF9"/>
      <sheetName val="TARJETAS_BLANCAS9"/>
      <sheetName val="2001_10_Cerv8"/>
      <sheetName val="PLAN_SAC_Cerveja8"/>
      <sheetName val="PLAN_SAC_RefrigeNanc8"/>
      <sheetName val="Relatório_SDG8"/>
      <sheetName val="2001_04_Cerv8"/>
      <sheetName val="Farol_SAC_Cerveja8"/>
      <sheetName val="2001_04_Nanc8"/>
      <sheetName val="Farol_SAC_Refrigenanc8"/>
      <sheetName val="CLASIFICACION_DE_AI8"/>
      <sheetName val="Cover_&amp;_Parameters8"/>
      <sheetName val="Share_Price_20026"/>
      <sheetName val="dep_pre6"/>
      <sheetName val="Calc_16"/>
      <sheetName val="Cost_Leadership_Capex_Inv_5"/>
      <sheetName val="Données_LMU3"/>
      <sheetName val="Linearidade_do_resultado3"/>
      <sheetName val="Curva_do_índice3"/>
      <sheetName val="Drop_down_list3"/>
      <sheetName val="12월_판매(권역)3"/>
      <sheetName val="7월예산(지점)_(2)3"/>
      <sheetName val="kpi(7월_Activity)3"/>
      <sheetName val="_7월LE_및_재고3"/>
      <sheetName val="_8월재고3"/>
      <sheetName val="_8월재고_(2)3"/>
      <sheetName val="Operation_Target(중앙)3"/>
      <sheetName val="Bud_여행Program3"/>
      <sheetName val="월마감_예상3"/>
      <sheetName val="HE_JBP3"/>
      <sheetName val="HE생_확산계획3"/>
      <sheetName val="대신_대은3"/>
      <sheetName val="AR_Issue3"/>
      <sheetName val="risk_MS3"/>
      <sheetName val="risk_Vol3"/>
      <sheetName val="I__INICIO1"/>
      <sheetName val="FJJX_Bud_IB"/>
      <sheetName val="asset beta model"/>
      <sheetName val="Factor"/>
      <sheetName val="Estructura SAP"/>
      <sheetName val="Factor 8 Oz"/>
      <sheetName val="control sheet"/>
      <sheetName val="FIF'S"/>
      <sheetName val="Planilha Geração"/>
      <sheetName val="BD_SEGUIM"/>
      <sheetName val="NO_BORRAR"/>
      <sheetName val="RAW_AUS"/>
      <sheetName val="RAW_NZP"/>
      <sheetName val="Balance_Fin_ajust_2004"/>
      <sheetName val="asset_beta_model"/>
      <sheetName val="Estructura_SAP"/>
      <sheetName val="Factor_8_Oz"/>
      <sheetName val="control_sheet"/>
      <sheetName val="Check Qualidade"/>
      <sheetName val="Plano de Ação"/>
      <sheetName val="Dados_BLP12"/>
      <sheetName val="CDI_Acumulado12"/>
      <sheetName val="Brazil_Sovereign11"/>
      <sheetName val="Benchmark_BLPV211"/>
      <sheetName val="Base_PEF10"/>
      <sheetName val="TARJETAS_BLANCAS10"/>
      <sheetName val="2001_10_Cerv9"/>
      <sheetName val="PLAN_SAC_Cerveja9"/>
      <sheetName val="PLAN_SAC_RefrigeNanc9"/>
      <sheetName val="Relatório_SDG9"/>
      <sheetName val="2001_04_Cerv9"/>
      <sheetName val="Farol_SAC_Cerveja9"/>
      <sheetName val="2001_04_Nanc9"/>
      <sheetName val="Farol_SAC_Refrigenanc9"/>
      <sheetName val="CLASIFICACION_DE_AI9"/>
      <sheetName val="Cover_&amp;_Parameters9"/>
      <sheetName val="Share_Price_20027"/>
      <sheetName val="dep_pre7"/>
      <sheetName val="Calc_17"/>
      <sheetName val="Cost_Leadership_Capex_Inv_6"/>
      <sheetName val="Linearidade_do_resultado4"/>
      <sheetName val="Curva_do_índice4"/>
      <sheetName val="Drop_down_list4"/>
      <sheetName val="12월_판매(권역)4"/>
      <sheetName val="7월예산(지점)_(2)4"/>
      <sheetName val="kpi(7월_Activity)4"/>
      <sheetName val="_7월LE_및_재고4"/>
      <sheetName val="_8월재고4"/>
      <sheetName val="_8월재고_(2)4"/>
      <sheetName val="Operation_Target(중앙)4"/>
      <sheetName val="Bud_여행Program4"/>
      <sheetName val="월마감_예상4"/>
      <sheetName val="HE_JBP4"/>
      <sheetName val="HE생_확산계획4"/>
      <sheetName val="대신_대은4"/>
      <sheetName val="AR_Issue4"/>
      <sheetName val="risk_MS4"/>
      <sheetName val="risk_Vol4"/>
      <sheetName val="Données_LMU4"/>
      <sheetName val="I__INICIO2"/>
      <sheetName val="FJJX_Bud_IB1"/>
      <sheetName val="RAW_AUS1"/>
      <sheetName val="RAW_NZP1"/>
      <sheetName val="Balance_Fin_ajust_20041"/>
      <sheetName val="BD_SEGUIM1"/>
      <sheetName val="NO_BORRAR1"/>
      <sheetName val="asset_beta_model1"/>
      <sheetName val="Estructura_SAP1"/>
      <sheetName val="Factor_8_Oz1"/>
      <sheetName val="control_sheet1"/>
      <sheetName val="Sig_Cycles_Accts_&amp;_Processes"/>
      <sheetName val="Overview Waterfall"/>
      <sheetName val="Ref"/>
      <sheetName val="Dados_BLP13"/>
      <sheetName val="CDI_Acumulado13"/>
      <sheetName val="Brazil_Sovereign12"/>
      <sheetName val="Benchmark_BLPV212"/>
      <sheetName val="Base_PEF11"/>
      <sheetName val="TARJETAS_BLANCAS11"/>
      <sheetName val="2001_10_Cerv10"/>
      <sheetName val="PLAN_SAC_Cerveja10"/>
      <sheetName val="PLAN_SAC_RefrigeNanc10"/>
      <sheetName val="Relatório_SDG10"/>
      <sheetName val="2001_04_Cerv10"/>
      <sheetName val="Farol_SAC_Cerveja10"/>
      <sheetName val="2001_04_Nanc10"/>
      <sheetName val="Farol_SAC_Refrigenanc10"/>
      <sheetName val="CLASIFICACION_DE_AI10"/>
      <sheetName val="Cover_&amp;_Parameters10"/>
      <sheetName val="Share_Price_20028"/>
      <sheetName val="dep_pre8"/>
      <sheetName val="Calc_18"/>
      <sheetName val="Cost_Leadership_Capex_Inv_7"/>
      <sheetName val="I__INICIO3"/>
      <sheetName val="Linearidade_do_resultado5"/>
      <sheetName val="Curva_do_índice5"/>
      <sheetName val="Drop_down_list5"/>
      <sheetName val="12월_판매(권역)5"/>
      <sheetName val="7월예산(지점)_(2)5"/>
      <sheetName val="kpi(7월_Activity)5"/>
      <sheetName val="_7월LE_및_재고5"/>
      <sheetName val="_8월재고5"/>
      <sheetName val="_8월재고_(2)5"/>
      <sheetName val="Operation_Target(중앙)5"/>
      <sheetName val="Bud_여행Program5"/>
      <sheetName val="월마감_예상5"/>
      <sheetName val="HE_JBP5"/>
      <sheetName val="HE생_확산계획5"/>
      <sheetName val="대신_대은5"/>
      <sheetName val="AR_Issue5"/>
      <sheetName val="risk_MS5"/>
      <sheetName val="risk_Vol5"/>
      <sheetName val="Données_LMU5"/>
      <sheetName val="Balance_Fin_ajust_20042"/>
      <sheetName val="FJJX_Bud_IB2"/>
      <sheetName val="RAW_AUS2"/>
      <sheetName val="RAW_NZP2"/>
      <sheetName val="Sig_Cycles_Accts_&amp;_Processes1"/>
      <sheetName val="BD_SEGUIM2"/>
      <sheetName val="NO_BORRAR2"/>
      <sheetName val="asset_beta_model2"/>
      <sheetName val="Estructura_SAP2"/>
      <sheetName val="Factor_8_Oz2"/>
      <sheetName val="control_sheet2"/>
      <sheetName val="Anex_17"/>
      <sheetName val="DATOS_PARA_INTERPOLACION"/>
      <sheetName val="DPN_VALUE"/>
      <sheetName val="Planilha_Geração"/>
      <sheetName val="Check_Qualidade"/>
      <sheetName val="Plano_de_Ação"/>
      <sheetName val="Overview_Waterfall"/>
      <sheetName val="INCOME"/>
      <sheetName val="CTUNIPLA"/>
      <sheetName val="Price"/>
      <sheetName val="MACOMixData"/>
      <sheetName val="NRMixData"/>
      <sheetName val="NRMixData_YTD"/>
      <sheetName val="Setting"/>
      <sheetName val="Anex_171"/>
      <sheetName val="DATOS_PARA_INTERPOLACION1"/>
      <sheetName val="DPN_VALUE1"/>
      <sheetName val="Check_Qualidade1"/>
      <sheetName val="Plano_de_Ação1"/>
      <sheetName val="Planilha_Geração1"/>
      <sheetName val="Overview_Waterfall1"/>
      <sheetName val="Dados_BLP14"/>
      <sheetName val="CDI_Acumulado14"/>
      <sheetName val="Brazil_Sovereign13"/>
      <sheetName val="Benchmark_BLPV213"/>
      <sheetName val="Base_PEF12"/>
      <sheetName val="TARJETAS_BLANCAS12"/>
      <sheetName val="2001_10_Cerv11"/>
      <sheetName val="PLAN_SAC_Cerveja11"/>
      <sheetName val="PLAN_SAC_RefrigeNanc11"/>
      <sheetName val="Relatório_SDG11"/>
      <sheetName val="2001_04_Cerv11"/>
      <sheetName val="Farol_SAC_Cerveja11"/>
      <sheetName val="2001_04_Nanc11"/>
      <sheetName val="Farol_SAC_Refrigenanc11"/>
      <sheetName val="CLASIFICACION_DE_AI11"/>
      <sheetName val="Cover_&amp;_Parameters11"/>
      <sheetName val="Share_Price_20029"/>
      <sheetName val="dep_pre9"/>
      <sheetName val="Calc_19"/>
      <sheetName val="Cost_Leadership_Capex_Inv_8"/>
      <sheetName val="Linearidade_do_resultado6"/>
      <sheetName val="Curva_do_índice6"/>
      <sheetName val="Drop_down_list6"/>
      <sheetName val="12월_판매(권역)6"/>
      <sheetName val="7월예산(지점)_(2)6"/>
      <sheetName val="kpi(7월_Activity)6"/>
      <sheetName val="_7월LE_및_재고6"/>
      <sheetName val="_8월재고6"/>
      <sheetName val="_8월재고_(2)6"/>
      <sheetName val="Operation_Target(중앙)6"/>
      <sheetName val="Bud_여행Program6"/>
      <sheetName val="월마감_예상6"/>
      <sheetName val="HE_JBP6"/>
      <sheetName val="HE생_확산계획6"/>
      <sheetName val="대신_대은6"/>
      <sheetName val="AR_Issue6"/>
      <sheetName val="risk_MS6"/>
      <sheetName val="risk_Vol6"/>
      <sheetName val="I__INICIO4"/>
      <sheetName val="Données_LMU6"/>
      <sheetName val="FJJX_Bud_IB3"/>
      <sheetName val="RAW_AUS3"/>
      <sheetName val="RAW_NZP3"/>
      <sheetName val="Balance_Fin_ajust_20043"/>
      <sheetName val="Sig_Cycles_Accts_&amp;_Processes2"/>
      <sheetName val="BD_SEGUIM3"/>
      <sheetName val="NO_BORRAR3"/>
      <sheetName val="asset_beta_model3"/>
      <sheetName val="Estructura_SAP3"/>
      <sheetName val="Factor_8_Oz3"/>
      <sheetName val="control_sheet3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etup"/>
      <sheetName val="SALDO BAC"/>
      <sheetName val="Informacoes CVM"/>
      <sheetName val="Dados CVM"/>
      <sheetName val="Acerno_Cache_XXXXX"/>
      <sheetName val="1. BD_Balancetes Mensais"/>
      <sheetName val="4. BD_Carteiras Mensais"/>
      <sheetName val="11. Fluxo de Caixa"/>
      <sheetName val="CNPJ"/>
      <sheetName val="(d) Aux.Fundos Repasse"/>
      <sheetName val="(d) ToD.Reconc_Remuneração_ADM"/>
      <sheetName val="(d) Aux.Repasse"/>
      <sheetName val="Rec. Pillar (DRE Soc.)"/>
      <sheetName val="BAL1001"/>
      <sheetName val="market"/>
      <sheetName val="Dados_BLP15"/>
      <sheetName val="CDI_Acumulado15"/>
      <sheetName val="Brazil_Sovereign14"/>
      <sheetName val="Benchmark_BLPV214"/>
      <sheetName val="Base_PEF13"/>
      <sheetName val="TARJETAS_BLANCAS13"/>
      <sheetName val="2001_10_Cerv12"/>
      <sheetName val="PLAN_SAC_Cerveja12"/>
      <sheetName val="PLAN_SAC_RefrigeNanc12"/>
      <sheetName val="Relatório_SDG12"/>
      <sheetName val="2001_04_Cerv12"/>
      <sheetName val="Farol_SAC_Cerveja12"/>
      <sheetName val="2001_04_Nanc12"/>
      <sheetName val="Farol_SAC_Refrigenanc12"/>
      <sheetName val="CLASIFICACION_DE_AI12"/>
      <sheetName val="Cover_&amp;_Parameters12"/>
      <sheetName val="Share_Price_200210"/>
      <sheetName val="dep_pre10"/>
      <sheetName val="Calc_110"/>
      <sheetName val="Cost_Leadership_Capex_Inv_9"/>
      <sheetName val="Linearidade_do_resultado7"/>
      <sheetName val="Curva_do_índice7"/>
      <sheetName val="Drop_down_list7"/>
      <sheetName val="12월_판매(권역)7"/>
      <sheetName val="7월예산(지점)_(2)7"/>
      <sheetName val="kpi(7월_Activity)7"/>
      <sheetName val="_7월LE_및_재고7"/>
      <sheetName val="_8월재고7"/>
      <sheetName val="_8월재고_(2)7"/>
      <sheetName val="Operation_Target(중앙)7"/>
      <sheetName val="Bud_여행Program7"/>
      <sheetName val="월마감_예상7"/>
      <sheetName val="HE_JBP7"/>
      <sheetName val="HE생_확산계획7"/>
      <sheetName val="대신_대은7"/>
      <sheetName val="AR_Issue7"/>
      <sheetName val="risk_MS7"/>
      <sheetName val="risk_Vol7"/>
      <sheetName val="I__INICIO5"/>
      <sheetName val="Données_LMU7"/>
      <sheetName val="FJJX_Bud_IB4"/>
      <sheetName val="RAW_AUS4"/>
      <sheetName val="RAW_NZP4"/>
      <sheetName val="Balance_Fin_ajust_20044"/>
      <sheetName val="Sig_Cycles_Accts_&amp;_Processes3"/>
      <sheetName val="BD_SEGUIM4"/>
      <sheetName val="NO_BORRAR4"/>
      <sheetName val="Anex_172"/>
      <sheetName val="DATOS_PARA_INTERPOLACION2"/>
      <sheetName val="DPN_VALUE2"/>
      <sheetName val="asset_beta_model4"/>
      <sheetName val="Estructura_SAP4"/>
      <sheetName val="Factor_8_Oz4"/>
      <sheetName val="control_sheet4"/>
      <sheetName val="Planilha_Geração2"/>
      <sheetName val="Check_Qualidade2"/>
      <sheetName val="Plano_de_Ação2"/>
      <sheetName val="Overview_Waterfall2"/>
      <sheetName val="Dados_BLP16"/>
      <sheetName val="CDI_Acumulado16"/>
      <sheetName val="Brazil_Sovereign15"/>
      <sheetName val="Benchmark_BLPV215"/>
      <sheetName val="Base_PEF14"/>
      <sheetName val="TARJETAS_BLANCAS14"/>
      <sheetName val="2001_10_Cerv13"/>
      <sheetName val="PLAN_SAC_Cerveja13"/>
      <sheetName val="PLAN_SAC_RefrigeNanc13"/>
      <sheetName val="Relatório_SDG13"/>
      <sheetName val="2001_04_Cerv13"/>
      <sheetName val="Farol_SAC_Cerveja13"/>
      <sheetName val="2001_04_Nanc13"/>
      <sheetName val="Farol_SAC_Refrigenanc13"/>
      <sheetName val="CLASIFICACION_DE_AI13"/>
      <sheetName val="Cover_&amp;_Parameters13"/>
      <sheetName val="Share_Price_200211"/>
      <sheetName val="dep_pre11"/>
      <sheetName val="Calc_111"/>
      <sheetName val="Cost_Leadership_Capex_Inv_10"/>
      <sheetName val="Linearidade_do_resultado8"/>
      <sheetName val="Curva_do_índice8"/>
      <sheetName val="Drop_down_list8"/>
      <sheetName val="12월_판매(권역)8"/>
      <sheetName val="7월예산(지점)_(2)8"/>
      <sheetName val="kpi(7월_Activity)8"/>
      <sheetName val="_7월LE_및_재고8"/>
      <sheetName val="_8월재고8"/>
      <sheetName val="_8월재고_(2)8"/>
      <sheetName val="Operation_Target(중앙)8"/>
      <sheetName val="Bud_여행Program8"/>
      <sheetName val="월마감_예상8"/>
      <sheetName val="HE_JBP8"/>
      <sheetName val="HE생_확산계획8"/>
      <sheetName val="대신_대은8"/>
      <sheetName val="AR_Issue8"/>
      <sheetName val="risk_MS8"/>
      <sheetName val="risk_Vol8"/>
      <sheetName val="I__INICIO6"/>
      <sheetName val="Données_LMU8"/>
      <sheetName val="FJJX_Bud_IB5"/>
      <sheetName val="RAW_AUS5"/>
      <sheetName val="RAW_NZP5"/>
      <sheetName val="Balance_Fin_ajust_20045"/>
      <sheetName val="Sig_Cycles_Accts_&amp;_Processes4"/>
      <sheetName val="BD_SEGUIM5"/>
      <sheetName val="NO_BORRAR5"/>
      <sheetName val="Anex_173"/>
      <sheetName val="DATOS_PARA_INTERPOLACION3"/>
      <sheetName val="DPN_VALUE3"/>
      <sheetName val="asset_beta_model5"/>
      <sheetName val="Estructura_SAP5"/>
      <sheetName val="Factor_8_Oz5"/>
      <sheetName val="control_sheet5"/>
      <sheetName val="Planilha_Geração3"/>
      <sheetName val="Check_Qualidade3"/>
      <sheetName val="Plano_de_Ação3"/>
      <sheetName val="Overview_Waterfall3"/>
      <sheetName val="Dados_BLP17"/>
      <sheetName val="CDI_Acumulado17"/>
      <sheetName val="Brazil_Sovereign16"/>
      <sheetName val="Benchmark_BLPV216"/>
      <sheetName val="Base_PEF15"/>
      <sheetName val="TARJETAS_BLANCAS15"/>
      <sheetName val="2001_10_Cerv14"/>
      <sheetName val="PLAN_SAC_Cerveja14"/>
      <sheetName val="PLAN_SAC_RefrigeNanc14"/>
      <sheetName val="Relatório_SDG14"/>
      <sheetName val="2001_04_Cerv14"/>
      <sheetName val="Farol_SAC_Cerveja14"/>
      <sheetName val="2001_04_Nanc14"/>
      <sheetName val="Farol_SAC_Refrigenanc14"/>
      <sheetName val="CLASIFICACION_DE_AI14"/>
      <sheetName val="Cover_&amp;_Parameters14"/>
      <sheetName val="Share_Price_200212"/>
      <sheetName val="dep_pre12"/>
      <sheetName val="Calc_112"/>
      <sheetName val="Cost_Leadership_Capex_Inv_11"/>
      <sheetName val="Linearidade_do_resultado9"/>
      <sheetName val="Curva_do_índice9"/>
      <sheetName val="Drop_down_list9"/>
      <sheetName val="12월_판매(권역)9"/>
      <sheetName val="7월예산(지점)_(2)9"/>
      <sheetName val="kpi(7월_Activity)9"/>
      <sheetName val="_7월LE_및_재고9"/>
      <sheetName val="_8월재고9"/>
      <sheetName val="_8월재고_(2)9"/>
      <sheetName val="Operation_Target(중앙)9"/>
      <sheetName val="Bud_여행Program9"/>
      <sheetName val="월마감_예상9"/>
      <sheetName val="HE_JBP9"/>
      <sheetName val="HE생_확산계획9"/>
      <sheetName val="대신_대은9"/>
      <sheetName val="AR_Issue9"/>
      <sheetName val="risk_MS9"/>
      <sheetName val="risk_Vol9"/>
      <sheetName val="I__INICIO7"/>
      <sheetName val="Données_LMU9"/>
      <sheetName val="FJJX_Bud_IB6"/>
      <sheetName val="RAW_AUS6"/>
      <sheetName val="RAW_NZP6"/>
      <sheetName val="Balance_Fin_ajust_20046"/>
      <sheetName val="Sig_Cycles_Accts_&amp;_Processes5"/>
      <sheetName val="BD_SEGUIM6"/>
      <sheetName val="NO_BORRAR6"/>
      <sheetName val="Anex_174"/>
      <sheetName val="DATOS_PARA_INTERPOLACION4"/>
      <sheetName val="DPN_VALUE4"/>
      <sheetName val="asset_beta_model6"/>
      <sheetName val="Estructura_SAP6"/>
      <sheetName val="Factor_8_Oz6"/>
      <sheetName val="control_sheet6"/>
      <sheetName val="Planilha_Geração4"/>
      <sheetName val="Check_Qualidade4"/>
      <sheetName val="Plano_de_Ação4"/>
      <sheetName val="Overview_Waterfall4"/>
      <sheetName val="Dados_BLP18"/>
      <sheetName val="CDI_Acumulado18"/>
      <sheetName val="Brazil_Sovereign17"/>
      <sheetName val="Benchmark_BLPV217"/>
      <sheetName val="Base_PEF16"/>
      <sheetName val="TARJETAS_BLANCAS16"/>
      <sheetName val="2001_10_Cerv15"/>
      <sheetName val="PLAN_SAC_Cerveja15"/>
      <sheetName val="PLAN_SAC_RefrigeNanc15"/>
      <sheetName val="Relatório_SDG15"/>
      <sheetName val="2001_04_Cerv15"/>
      <sheetName val="Farol_SAC_Cerveja15"/>
      <sheetName val="2001_04_Nanc15"/>
      <sheetName val="Farol_SAC_Refrigenanc15"/>
      <sheetName val="CLASIFICACION_DE_AI15"/>
      <sheetName val="Cover_&amp;_Parameters15"/>
      <sheetName val="Share_Price_200213"/>
      <sheetName val="dep_pre13"/>
      <sheetName val="Calc_113"/>
      <sheetName val="Cost_Leadership_Capex_Inv_12"/>
      <sheetName val="Linearidade_do_resultado10"/>
      <sheetName val="Curva_do_índice10"/>
      <sheetName val="Drop_down_list10"/>
      <sheetName val="12월_판매(권역)10"/>
      <sheetName val="7월예산(지점)_(2)10"/>
      <sheetName val="kpi(7월_Activity)10"/>
      <sheetName val="_7월LE_및_재고10"/>
      <sheetName val="_8월재고10"/>
      <sheetName val="_8월재고_(2)10"/>
      <sheetName val="Operation_Target(중앙)10"/>
      <sheetName val="Bud_여행Program10"/>
      <sheetName val="월마감_예상10"/>
      <sheetName val="HE_JBP10"/>
      <sheetName val="HE생_확산계획10"/>
      <sheetName val="대신_대은10"/>
      <sheetName val="AR_Issue10"/>
      <sheetName val="risk_MS10"/>
      <sheetName val="risk_Vol10"/>
      <sheetName val="I__INICIO8"/>
      <sheetName val="Données_LMU10"/>
      <sheetName val="FJJX_Bud_IB7"/>
      <sheetName val="RAW_AUS7"/>
      <sheetName val="RAW_NZP7"/>
      <sheetName val="Balance_Fin_ajust_20047"/>
      <sheetName val="Sig_Cycles_Accts_&amp;_Processes6"/>
      <sheetName val="BD_SEGUIM7"/>
      <sheetName val="NO_BORRAR7"/>
      <sheetName val="Anex_175"/>
      <sheetName val="DATOS_PARA_INTERPOLACION5"/>
      <sheetName val="DPN_VALUE5"/>
      <sheetName val="asset_beta_model7"/>
      <sheetName val="Estructura_SAP7"/>
      <sheetName val="Factor_8_Oz7"/>
      <sheetName val="control_sheet7"/>
      <sheetName val="Planilha_Geração5"/>
      <sheetName val="Check_Qualidade5"/>
      <sheetName val="Plano_de_Ação5"/>
      <sheetName val="Overview_Waterfall5"/>
      <sheetName val="Dados_BLP19"/>
      <sheetName val="CDI_Acumulado19"/>
      <sheetName val="Brazil_Sovereign18"/>
      <sheetName val="Benchmark_BLPV218"/>
      <sheetName val="Base_PEF17"/>
      <sheetName val="TARJETAS_BLANCAS17"/>
      <sheetName val="2001_10_Cerv16"/>
      <sheetName val="PLAN_SAC_Cerveja16"/>
      <sheetName val="PLAN_SAC_RefrigeNanc16"/>
      <sheetName val="Relatório_SDG16"/>
      <sheetName val="2001_04_Cerv16"/>
      <sheetName val="Farol_SAC_Cerveja16"/>
      <sheetName val="2001_04_Nanc16"/>
      <sheetName val="Farol_SAC_Refrigenanc16"/>
      <sheetName val="CLASIFICACION_DE_AI16"/>
      <sheetName val="Cover_&amp;_Parameters16"/>
      <sheetName val="Share_Price_200214"/>
      <sheetName val="dep_pre14"/>
      <sheetName val="Calc_114"/>
      <sheetName val="Cost_Leadership_Capex_Inv_13"/>
      <sheetName val="Linearidade_do_resultado11"/>
      <sheetName val="Curva_do_índice11"/>
      <sheetName val="Drop_down_list11"/>
      <sheetName val="12월_판매(권역)11"/>
      <sheetName val="7월예산(지점)_(2)11"/>
      <sheetName val="kpi(7월_Activity)11"/>
      <sheetName val="_7월LE_및_재고11"/>
      <sheetName val="_8월재고11"/>
      <sheetName val="_8월재고_(2)11"/>
      <sheetName val="Operation_Target(중앙)11"/>
      <sheetName val="Bud_여행Program11"/>
      <sheetName val="월마감_예상11"/>
      <sheetName val="HE_JBP11"/>
      <sheetName val="HE생_확산계획11"/>
      <sheetName val="대신_대은11"/>
      <sheetName val="AR_Issue11"/>
      <sheetName val="risk_MS11"/>
      <sheetName val="risk_Vol11"/>
      <sheetName val="I__INICIO9"/>
      <sheetName val="Données_LMU11"/>
      <sheetName val="FJJX_Bud_IB8"/>
      <sheetName val="RAW_AUS8"/>
      <sheetName val="RAW_NZP8"/>
      <sheetName val="Balance_Fin_ajust_20048"/>
      <sheetName val="Sig_Cycles_Accts_&amp;_Processes7"/>
      <sheetName val="BD_SEGUIM8"/>
      <sheetName val="NO_BORRAR8"/>
      <sheetName val="Anex_176"/>
      <sheetName val="DATOS_PARA_INTERPOLACION6"/>
      <sheetName val="DPN_VALUE6"/>
      <sheetName val="asset_beta_model8"/>
      <sheetName val="Estructura_SAP8"/>
      <sheetName val="Factor_8_Oz8"/>
      <sheetName val="control_sheet8"/>
      <sheetName val="Planilha_Geração6"/>
      <sheetName val="Check_Qualidade6"/>
      <sheetName val="Plano_de_Ação6"/>
      <sheetName val="Overview_Waterfall6"/>
      <sheetName val="Dados_BLP20"/>
      <sheetName val="CDI_Acumulado20"/>
      <sheetName val="Brazil_Sovereign19"/>
      <sheetName val="Benchmark_BLPV219"/>
      <sheetName val="Base_PEF18"/>
      <sheetName val="TARJETAS_BLANCAS18"/>
      <sheetName val="2001_10_Cerv17"/>
      <sheetName val="PLAN_SAC_Cerveja17"/>
      <sheetName val="PLAN_SAC_RefrigeNanc17"/>
      <sheetName val="Relatório_SDG17"/>
      <sheetName val="2001_04_Cerv17"/>
      <sheetName val="Farol_SAC_Cerveja17"/>
      <sheetName val="2001_04_Nanc17"/>
      <sheetName val="Farol_SAC_Refrigenanc17"/>
      <sheetName val="CLASIFICACION_DE_AI17"/>
      <sheetName val="Cover_&amp;_Parameters17"/>
      <sheetName val="Share_Price_200215"/>
      <sheetName val="dep_pre15"/>
      <sheetName val="Calc_115"/>
      <sheetName val="Cost_Leadership_Capex_Inv_14"/>
      <sheetName val="Linearidade_do_resultado12"/>
      <sheetName val="Curva_do_índice12"/>
      <sheetName val="Drop_down_list12"/>
      <sheetName val="12월_판매(권역)12"/>
      <sheetName val="7월예산(지점)_(2)12"/>
      <sheetName val="kpi(7월_Activity)12"/>
      <sheetName val="_7월LE_및_재고12"/>
      <sheetName val="_8월재고12"/>
      <sheetName val="_8월재고_(2)12"/>
      <sheetName val="Operation_Target(중앙)12"/>
      <sheetName val="Bud_여행Program12"/>
      <sheetName val="월마감_예상12"/>
      <sheetName val="HE_JBP12"/>
      <sheetName val="HE생_확산계획12"/>
      <sheetName val="대신_대은12"/>
      <sheetName val="AR_Issue12"/>
      <sheetName val="risk_MS12"/>
      <sheetName val="risk_Vol12"/>
      <sheetName val="I__INICIO10"/>
      <sheetName val="Données_LMU12"/>
      <sheetName val="FJJX_Bud_IB9"/>
      <sheetName val="RAW_AUS9"/>
      <sheetName val="RAW_NZP9"/>
      <sheetName val="Balance_Fin_ajust_20049"/>
      <sheetName val="Sig_Cycles_Accts_&amp;_Processes8"/>
      <sheetName val="BD_SEGUIM9"/>
      <sheetName val="NO_BORRAR9"/>
      <sheetName val="Anex_177"/>
      <sheetName val="DATOS_PARA_INTERPOLACION7"/>
      <sheetName val="DPN_VALUE7"/>
      <sheetName val="asset_beta_model9"/>
      <sheetName val="Estructura_SAP9"/>
      <sheetName val="Factor_8_Oz9"/>
      <sheetName val="control_sheet9"/>
      <sheetName val="Planilha_Geração7"/>
      <sheetName val="Check_Qualidade7"/>
      <sheetName val="Plano_de_Ação7"/>
      <sheetName val="Overview_Waterfall7"/>
      <sheetName val="Controle"/>
      <sheetName val="Inputs"/>
      <sheetName val="Funding"/>
      <sheetName val="BNDES"/>
      <sheetName val="Dividends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SALDO_BAC"/>
      <sheetName val="Brand"/>
      <sheetName val="mapping"/>
      <sheetName val="MMR12活动类型"/>
      <sheetName val="Region"/>
      <sheetName val="SKU代码"/>
      <sheetName val="Territory"/>
      <sheetName val="TRCode"/>
      <sheetName val="经销商"/>
      <sheetName val="渠道"/>
      <sheetName val="misc"/>
      <sheetName val="Financ. Overview"/>
      <sheetName val="Dados_BLP21"/>
      <sheetName val="CDI_Acumulado21"/>
      <sheetName val="Brazil_Sovereign20"/>
      <sheetName val="Benchmark_BLPV220"/>
      <sheetName val="Base_PEF19"/>
      <sheetName val="TARJETAS_BLANCAS19"/>
      <sheetName val="2001_10_Cerv18"/>
      <sheetName val="PLAN_SAC_Cerveja18"/>
      <sheetName val="PLAN_SAC_RefrigeNanc18"/>
      <sheetName val="Relatório_SDG18"/>
      <sheetName val="2001_04_Cerv18"/>
      <sheetName val="Farol_SAC_Cerveja18"/>
      <sheetName val="2001_04_Nanc18"/>
      <sheetName val="Farol_SAC_Refrigenanc18"/>
      <sheetName val="CLASIFICACION_DE_AI18"/>
      <sheetName val="Cover_&amp;_Parameters18"/>
      <sheetName val="Share_Price_200216"/>
      <sheetName val="dep_pre16"/>
      <sheetName val="Calc_116"/>
      <sheetName val="Cost_Leadership_Capex_Inv_15"/>
      <sheetName val="Linearidade_do_resultado13"/>
      <sheetName val="Curva_do_índice13"/>
      <sheetName val="Drop_down_list13"/>
      <sheetName val="12월_판매(권역)13"/>
      <sheetName val="7월예산(지점)_(2)13"/>
      <sheetName val="kpi(7월_Activity)13"/>
      <sheetName val="_7월LE_및_재고13"/>
      <sheetName val="_8월재고13"/>
      <sheetName val="_8월재고_(2)13"/>
      <sheetName val="Operation_Target(중앙)13"/>
      <sheetName val="Bud_여행Program13"/>
      <sheetName val="월마감_예상13"/>
      <sheetName val="HE_JBP13"/>
      <sheetName val="HE생_확산계획13"/>
      <sheetName val="대신_대은13"/>
      <sheetName val="AR_Issue13"/>
      <sheetName val="risk_MS13"/>
      <sheetName val="risk_Vol13"/>
      <sheetName val="Données_LMU13"/>
      <sheetName val="I__INICIO11"/>
      <sheetName val="FJJX_Bud_IB10"/>
      <sheetName val="BD_SEGUIM10"/>
      <sheetName val="NO_BORRAR10"/>
      <sheetName val="RAW_AUS10"/>
      <sheetName val="RAW_NZP10"/>
      <sheetName val="Balance_Fin_ajust_200410"/>
      <sheetName val="asset_beta_model10"/>
      <sheetName val="Estructura_SAP10"/>
      <sheetName val="Factor_8_Oz10"/>
      <sheetName val="control_sheet10"/>
      <sheetName val="Sig_Cycles_Accts_&amp;_Processes9"/>
      <sheetName val="Anex_178"/>
      <sheetName val="DATOS_PARA_INTERPOLACION8"/>
      <sheetName val="DPN_VALUE8"/>
      <sheetName val="Check_Qualidade8"/>
      <sheetName val="Plano_de_Ação8"/>
      <sheetName val="Planilha_Geração8"/>
      <sheetName val="Overview_Waterfall8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SALDO_BAC1"/>
      <sheetName val="Informacoes_CVM"/>
      <sheetName val="Dados_CVM"/>
      <sheetName val="1__BD_Balancetes_Mensais"/>
      <sheetName val="4__BD_Carteiras_Mensais"/>
      <sheetName val="11__Fluxo_de_Caixa"/>
      <sheetName val="(d)_Aux_Fundos_Repasse"/>
      <sheetName val="(d)_ToD_Reconc_Remuneração_ADM"/>
      <sheetName val="(d)_Aux_Repasse"/>
      <sheetName val="Rec__Pillar_(DRE_Soc_)"/>
      <sheetName val="HIST"/>
      <sheetName val="COSREF"/>
      <sheetName val="Datos"/>
      <sheetName val="BC"/>
      <sheetName val="B"/>
      <sheetName val="NIIF"/>
      <sheetName val="flujo"/>
      <sheetName val="SUMREP"/>
      <sheetName val="Panel Control"/>
      <sheetName val="STMAS PEAJE"/>
      <sheetName val="BBVA"/>
      <sheetName val="OS"/>
      <sheetName val="Applications"/>
      <sheetName val="DATOS - NO BORRAR"/>
      <sheetName val="Parameters"/>
      <sheetName val="Listas Desplegables"/>
      <sheetName val="Información Adicional"/>
      <sheetName val="Materialidad "/>
      <sheetName val="Ajustes"/>
      <sheetName val="B 2017"/>
      <sheetName val="Balance Cliente"/>
      <sheetName val="B 2018"/>
      <sheetName val="B 2018 Ajustado"/>
      <sheetName val="T0 Conciliación"/>
      <sheetName val="T0-1 CR 2018 CPPC"/>
      <sheetName val="T0-2 Conciliación 2017"/>
      <sheetName val="T0-1 CR 2017 CPPC"/>
      <sheetName val="T1 Utilidad"/>
      <sheetName val="T2 Contribuciones"/>
      <sheetName val="T2-1 HCM 21090101007"/>
      <sheetName val="T2-2 SSO 21090101001"/>
      <sheetName val="T2-3 INCE 21090101005"/>
      <sheetName val="T2-4 LPH 21090101003"/>
      <sheetName val="T3 Provisiones"/>
      <sheetName val="T3-1 Bonos 21190101010"/>
      <sheetName val="T3-2 Inv Soc FndCnt 21190101007"/>
      <sheetName val="T3-3 Prov. LOCTI 21191101001"/>
      <sheetName val="T4 81010101005 "/>
      <sheetName val="T5 73010201002 Gasto de IGTF"/>
      <sheetName val="T6 83010101004 OE ND"/>
      <sheetName val="T7 21090101011 Caja de Ahorros"/>
      <sheetName val="T8 73010201001 Gastos y Comsion"/>
      <sheetName val="T9 Otros Egresos 83030101001"/>
      <sheetName val="T10 Gastos Acumulados CPPC"/>
      <sheetName val="T10-1 21090101017"/>
      <sheetName val="T10-2 21090101024"/>
      <sheetName val="T10-3 21090101050"/>
      <sheetName val="T11 83030101099"/>
      <sheetName val="T12 81030101001"/>
      <sheetName val="T13 81030101002"/>
      <sheetName val="Pérdidas Trasladables"/>
      <sheetName val="Rebajas Nvas Inv"/>
      <sheetName val="Donaciones"/>
      <sheetName val="Exceso Directores"/>
      <sheetName val="Gastos Acumulados"/>
      <sheetName val="Subcapitalización Pat"/>
      <sheetName val="Subcapitalización"/>
      <sheetName val="REI"/>
      <sheetName val="Patrimonio"/>
      <sheetName val="Mov. Patrimonio"/>
      <sheetName val="Aumento de Capital"/>
      <sheetName val="Decreto de Dividendos"/>
      <sheetName val="EFHP"/>
      <sheetName val="Inventario"/>
      <sheetName val="Activo Fijo"/>
      <sheetName val="Inversiones"/>
      <sheetName val="Prepagados"/>
      <sheetName val="Cargos Diferidos"/>
      <sheetName val="IPC"/>
      <sheetName val="Requerimientos"/>
      <sheetName val="Financ__Overview"/>
      <sheetName val="Chinese - English Lookup"/>
      <sheetName val="June-05"/>
      <sheetName val="RG Depots"/>
      <sheetName val="MonthlyChart_Budget"/>
      <sheetName val="Forecast_Chart"/>
      <sheetName val="Forecast_Chart_2"/>
      <sheetName val="Monthly_Forecast"/>
      <sheetName val="MonthlyChart_Simple"/>
      <sheetName val="MonthlyChart_Sloped"/>
      <sheetName val="NT"/>
      <sheetName val="NT IND"/>
      <sheetName val="DEP"/>
      <sheetName val="DEP IND"/>
      <sheetName val="CHARTS OVERALL"/>
      <sheetName val="INDUSTRIAL"/>
      <sheetName val="M3"/>
      <sheetName val="Selection_Setting"/>
      <sheetName val="1_Overvi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 refreshError="1"/>
      <sheetData sheetId="353" refreshError="1"/>
      <sheetData sheetId="354" refreshError="1"/>
      <sheetData sheetId="355" refreshError="1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 refreshError="1"/>
      <sheetData sheetId="495" refreshError="1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 refreshError="1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 refreshError="1"/>
      <sheetData sheetId="682" refreshError="1"/>
      <sheetData sheetId="683" refreshError="1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 refreshError="1"/>
      <sheetData sheetId="1034" refreshError="1"/>
      <sheetData sheetId="1035" refreshError="1"/>
      <sheetData sheetId="1036" refreshError="1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GRESSÃO 20 MESES"/>
      <sheetName val="REGRESSÃO 12 MESES"/>
      <sheetName val="REGRESSÃO 6 MESES"/>
      <sheetName val="REGRESSÃO 30 DIAS"/>
      <sheetName val="COTAÇÕES"/>
      <sheetName val="VALOR DA EMPRESA"/>
      <sheetName val="Dados BLP"/>
      <sheetName val="Unidades SAC-REVENDA"/>
      <sheetName val="REALxMETA - CERVEJA"/>
      <sheetName val="REALxMETA - REFRI"/>
      <sheetName val="Calc 1"/>
      <sheetName val="BLP"/>
      <sheetName val="BGT-2014"/>
      <sheetName val="Lists"/>
      <sheetName val="Brazil Sovereign"/>
      <sheetName val="Pareto RSM's"/>
      <sheetName val="Share Price 2002"/>
      <sheetName val="REGRESSÃO_20_MESES"/>
      <sheetName val="REGRESSÃO_12_MESES"/>
      <sheetName val="REGRESSÃO_6_MESES"/>
      <sheetName val="REGRESSÃO_30_DIAS"/>
      <sheetName val="VALOR_DA_EMPRESA"/>
      <sheetName val="Dados_BLP"/>
      <sheetName val="Calc_1"/>
      <sheetName val="Unidades_SAC-REVENDA"/>
      <sheetName val="REALxMETA_-_CERVEJA"/>
      <sheetName val="REALxMETA_-_REFRI"/>
      <sheetName val=""/>
      <sheetName val="KF6"/>
      <sheetName val="Curve"/>
      <sheetName val="Registro"/>
      <sheetName val="CLASIFICACION DE AI"/>
      <sheetName val="TARJETAS BLANCAS"/>
      <sheetName val="은행"/>
      <sheetName val="Transferência Internacio."/>
      <sheetName val="REGRESSÃO_20_MESES1"/>
      <sheetName val="REGRESSÃO_12_MESES1"/>
      <sheetName val="REGRESSÃO_6_MESES1"/>
      <sheetName val="REGRESSÃO_30_DIAS1"/>
      <sheetName val="VALOR_DA_EMPRESA1"/>
      <sheetName val="Dados_BLP1"/>
      <sheetName val="Calc_11"/>
      <sheetName val="Unidades_SAC-REVENDA1"/>
      <sheetName val="REALxMETA_-_CERVEJA1"/>
      <sheetName val="REALxMETA_-_REFRI1"/>
      <sheetName val="Brazil_Sovereign"/>
      <sheetName val="Pareto_RSM's"/>
      <sheetName val="Share_Price_2002"/>
      <sheetName val="CLASIFICACION_DE_AI"/>
      <sheetName val="Precio"/>
      <sheetName val="TARJETAS_BLANCAS"/>
      <sheetName val="REGRESSÃO_20_MESES2"/>
      <sheetName val="REGRESSÃO_12_MESES2"/>
      <sheetName val="REGRESSÃO_6_MESES2"/>
      <sheetName val="REGRESSÃO_30_DIAS2"/>
      <sheetName val="VALOR_DA_EMPRESA2"/>
      <sheetName val="Dados_BLP2"/>
      <sheetName val="Calc_12"/>
      <sheetName val="Unidades_SAC-REVENDA2"/>
      <sheetName val="REALxMETA_-_CERVEJA2"/>
      <sheetName val="REALxMETA_-_REFRI2"/>
      <sheetName val="Brazil_Sovereign1"/>
      <sheetName val="Pareto_RSM's1"/>
      <sheetName val="Share_Price_20021"/>
      <sheetName val="CLASIFICACION_DE_AI1"/>
      <sheetName val="TARJETAS_BLANCAS1"/>
      <sheetName val="Dados_Energia"/>
      <sheetName val="REGRESSÃO_20_MESES3"/>
      <sheetName val="REGRESSÃO_12_MESES3"/>
      <sheetName val="REGRESSÃO_6_MESES3"/>
      <sheetName val="REGRESSÃO_30_DIAS3"/>
      <sheetName val="VALOR_DA_EMPRESA3"/>
      <sheetName val="Dados_BLP3"/>
      <sheetName val="Calc_13"/>
      <sheetName val="Unidades_SAC-REVENDA3"/>
      <sheetName val="REALxMETA_-_CERVEJA3"/>
      <sheetName val="REALxMETA_-_REFRI3"/>
      <sheetName val="Brazil_Sovereign2"/>
      <sheetName val="Pareto_RSM's2"/>
      <sheetName val="Share_Price_20022"/>
      <sheetName val="CLASIFICACION_DE_AI2"/>
      <sheetName val="TARJETAS_BLANCAS2"/>
      <sheetName val="Transferência_Internacio_"/>
      <sheetName val="Step2_Correlation"/>
      <sheetName val="Step2_Histogram"/>
      <sheetName val="REGRESSÃO_20_MESES4"/>
      <sheetName val="REGRESSÃO_12_MESES4"/>
      <sheetName val="REGRESSÃO_6_MESES4"/>
      <sheetName val="REGRESSÃO_30_DIAS4"/>
      <sheetName val="VALOR_DA_EMPRESA4"/>
      <sheetName val="Dados_BLP4"/>
      <sheetName val="Unidades_SAC-REVENDA4"/>
      <sheetName val="REALxMETA_-_CERVEJA4"/>
      <sheetName val="REALxMETA_-_REFRI4"/>
      <sheetName val="Calc_14"/>
      <sheetName val="Brazil_Sovereign3"/>
      <sheetName val="Pareto_RSM's3"/>
      <sheetName val="Share_Price_20023"/>
      <sheetName val="CLASIFICACION_DE_AI3"/>
      <sheetName val="TARJETAS_BLANCAS3"/>
      <sheetName val="Transferência_Internacio_1"/>
      <sheetName val="REGRESSÃO_20_MESES5"/>
      <sheetName val="REGRESSÃO_12_MESES5"/>
      <sheetName val="REGRESSÃO_6_MESES5"/>
      <sheetName val="REGRESSÃO_30_DIAS5"/>
      <sheetName val="VALOR_DA_EMPRESA5"/>
      <sheetName val="Dados_BLP5"/>
      <sheetName val="Calc_15"/>
      <sheetName val="Unidades_SAC-REVENDA5"/>
      <sheetName val="REALxMETA_-_CERVEJA5"/>
      <sheetName val="REALxMETA_-_REFRI5"/>
      <sheetName val="Brazil_Sovereign4"/>
      <sheetName val="Share_Price_20024"/>
      <sheetName val="Pareto_RSM's4"/>
      <sheetName val="CLASIFICACION_DE_AI4"/>
      <sheetName val="TARJETAS_BLANCAS4"/>
      <sheetName val="Transferência_Internacio_2"/>
      <sheetName val="Consolidado"/>
      <sheetName val="Setup"/>
      <sheetName val="Cost"/>
      <sheetName val="REGRESSÃO_20_MESES6"/>
      <sheetName val="REGRESSÃO_12_MESES6"/>
      <sheetName val="REGRESSÃO_6_MESES6"/>
      <sheetName val="REGRESSÃO_30_DIAS6"/>
      <sheetName val="VALOR_DA_EMPRESA6"/>
      <sheetName val="Dados_BLP6"/>
      <sheetName val="Unidades_SAC-REVENDA6"/>
      <sheetName val="REALxMETA_-_CERVEJA6"/>
      <sheetName val="REALxMETA_-_REFRI6"/>
      <sheetName val="Calc_16"/>
      <sheetName val="Share_Price_20025"/>
      <sheetName val="Brazil_Sovereign5"/>
      <sheetName val="Pareto_RSM's5"/>
      <sheetName val="CLASIFICACION_DE_AI5"/>
      <sheetName val="TARJETAS_BLANCAS5"/>
      <sheetName val="Transferência_Internacio_3"/>
      <sheetName val="SKU_Profile"/>
      <sheetName val="REGRESSÃO_20_MESES7"/>
      <sheetName val="REGRESSÃO_12_MESES7"/>
      <sheetName val="REGRESSÃO_6_MESES7"/>
      <sheetName val="REGRESSÃO_30_DIAS7"/>
      <sheetName val="VALOR_DA_EMPRESA7"/>
      <sheetName val="Dados_BLP7"/>
      <sheetName val="Unidades_SAC-REVENDA7"/>
      <sheetName val="REALxMETA_-_CERVEJA7"/>
      <sheetName val="REALxMETA_-_REFRI7"/>
      <sheetName val="Calc_17"/>
      <sheetName val="Brazil_Sovereign6"/>
      <sheetName val="Pareto_RSM's6"/>
      <sheetName val="Share_Price_20026"/>
      <sheetName val="CLASIFICACION_DE_AI6"/>
      <sheetName val="TARJETAS_BLANCAS6"/>
      <sheetName val="Transferência_Internacio_4"/>
      <sheetName val="Costos"/>
      <sheetName val="6 - Analítico"/>
      <sheetName val="Preview2"/>
      <sheetName val="dep pre"/>
      <sheetName val="REGRESSÃO_20_MESES8"/>
      <sheetName val="REGRESSÃO_12_MESES8"/>
      <sheetName val="REGRESSÃO_6_MESES8"/>
      <sheetName val="REGRESSÃO_30_DIAS8"/>
      <sheetName val="VALOR_DA_EMPRESA8"/>
      <sheetName val="Dados_BLP8"/>
      <sheetName val="Unidades_SAC-REVENDA8"/>
      <sheetName val="REALxMETA_-_CERVEJA8"/>
      <sheetName val="REALxMETA_-_REFRI8"/>
      <sheetName val="Calc_18"/>
      <sheetName val="Share_Price_20027"/>
      <sheetName val="Brazil_Sovereign7"/>
      <sheetName val="Pareto_RSM's7"/>
      <sheetName val="CLASIFICACION_DE_AI7"/>
      <sheetName val="TARJETAS_BLANCAS7"/>
      <sheetName val="Transferência_Internacio_5"/>
      <sheetName val="Chart data"/>
      <sheetName val="REGRESSÃO_20_MESES9"/>
      <sheetName val="REGRESSÃO_12_MESES9"/>
      <sheetName val="REGRESSÃO_6_MESES9"/>
      <sheetName val="REGRESSÃO_30_DIAS9"/>
      <sheetName val="VALOR_DA_EMPRESA9"/>
      <sheetName val="Unidades_SAC-REVENDA9"/>
      <sheetName val="REALxMETA_-_CERVEJA9"/>
      <sheetName val="REALxMETA_-_REFRI9"/>
      <sheetName val="Dados_BLP9"/>
      <sheetName val="Calc_19"/>
      <sheetName val="Brazil_Sovereign8"/>
      <sheetName val="Pareto_RSM's8"/>
      <sheetName val="Share_Price_20028"/>
      <sheetName val="CLASIFICACION_DE_AI8"/>
      <sheetName val="TARJETAS_BLANCAS8"/>
      <sheetName val="Transferência_Internacio_6"/>
      <sheetName val="REGRESSÃO_20_MESES10"/>
      <sheetName val="REGRESSÃO_12_MESES10"/>
      <sheetName val="REGRESSÃO_6_MESES10"/>
      <sheetName val="REGRESSÃO_30_DIAS10"/>
      <sheetName val="VALOR_DA_EMPRESA10"/>
      <sheetName val="Unidades_SAC-REVENDA10"/>
      <sheetName val="REALxMETA_-_CERVEJA10"/>
      <sheetName val="REALxMETA_-_REFRI10"/>
      <sheetName val="Dados_BLP10"/>
      <sheetName val="Calc_110"/>
      <sheetName val="Brazil_Sovereign9"/>
      <sheetName val="Pareto_RSM's9"/>
      <sheetName val="Share_Price_20029"/>
      <sheetName val="CLASIFICACION_DE_AI9"/>
      <sheetName val="TARJETAS_BLANCAS9"/>
      <sheetName val="Transferência_Internacio_7"/>
      <sheetName val="6_-_Analítico"/>
      <sheetName val="dep_pre"/>
      <sheetName val="Chart_data"/>
      <sheetName val="6_-_Analítico1"/>
      <sheetName val="dep_pre1"/>
      <sheetName val="Chart_data1"/>
      <sheetName val="data"/>
      <sheetName val="bud99"/>
      <sheetName val="REGRESSÃO_20_MESES11"/>
      <sheetName val="REGRESSÃO_12_MESES11"/>
      <sheetName val="REGRESSÃO_6_MESES11"/>
      <sheetName val="REGRESSÃO_30_DIAS11"/>
      <sheetName val="VALOR_DA_EMPRESA11"/>
      <sheetName val="Dados_BLP11"/>
      <sheetName val="Unidades_SAC-REVENDA11"/>
      <sheetName val="REALxMETA_-_CERVEJA11"/>
      <sheetName val="REALxMETA_-_REFRI11"/>
      <sheetName val="Calc_111"/>
      <sheetName val="Share_Price_200210"/>
      <sheetName val="Brazil_Sovereign10"/>
      <sheetName val="Pareto_RSM's10"/>
      <sheetName val="CLASIFICACION_DE_AI10"/>
      <sheetName val="TARJETAS_BLANCAS10"/>
      <sheetName val="Transferência_Internacio_8"/>
      <sheetName val="6_-_Analítico2"/>
      <sheetName val="dep_pre2"/>
      <sheetName val="Chart_data2"/>
      <sheetName val="Dados_Prod"/>
      <sheetName val="MATRIZ"/>
      <sheetName val="REGRESSÃO_20_MESES12"/>
      <sheetName val="REGRESSÃO_12_MESES12"/>
      <sheetName val="REGRESSÃO_6_MESES12"/>
      <sheetName val="REGRESSÃO_30_DIAS12"/>
      <sheetName val="VALOR_DA_EMPRESA12"/>
      <sheetName val="Dados_BLP12"/>
      <sheetName val="Unidades_SAC-REVENDA12"/>
      <sheetName val="REALxMETA_-_CERVEJA12"/>
      <sheetName val="REALxMETA_-_REFRI12"/>
      <sheetName val="Calc_112"/>
      <sheetName val="Brazil_Sovereign11"/>
      <sheetName val="Pareto_RSM's11"/>
      <sheetName val="Share_Price_200211"/>
      <sheetName val="CLASIFICACION_DE_AI11"/>
      <sheetName val="TARJETAS_BLANCAS11"/>
      <sheetName val="Transferência_Internacio_9"/>
      <sheetName val="6_-_Analítico3"/>
      <sheetName val="dep_pre3"/>
      <sheetName val="Chart_data3"/>
      <sheetName val="FJJX Bud_IB"/>
      <sheetName val="Cash_Flow"/>
      <sheetName val="Fixed and Variable Expenses"/>
      <sheetName val="Income Statement Data"/>
      <sheetName val="Fixed_and_Variable_Expenses"/>
      <sheetName val="Income_Statement_Data"/>
      <sheetName val="AC"/>
      <sheetName val="SAPSKU"/>
      <sheetName val="Territory"/>
      <sheetName val="促销对应条件"/>
      <sheetName val="促销规则"/>
      <sheetName val="经销商"/>
      <sheetName val="售点"/>
      <sheetName val="Report-Daily"/>
      <sheetName val="GraphData"/>
      <sheetName val="REGRESSÃO_20_MESES13"/>
      <sheetName val="REGRESSÃO_12_MESES13"/>
      <sheetName val="REGRESSÃO_6_MESES13"/>
      <sheetName val="REGRESSÃO_30_DIAS13"/>
      <sheetName val="VALOR_DA_EMPRESA13"/>
      <sheetName val="Dados_BLP13"/>
      <sheetName val="Calc_113"/>
      <sheetName val="Unidades_SAC-REVENDA13"/>
      <sheetName val="REALxMETA_-_CERVEJA13"/>
      <sheetName val="REALxMETA_-_REFRI13"/>
      <sheetName val="Brazil_Sovereign12"/>
      <sheetName val="Share_Price_200212"/>
      <sheetName val="Pareto_RSM's12"/>
      <sheetName val="CLASIFICACION_DE_AI12"/>
      <sheetName val="TARJETAS_BLANCAS12"/>
      <sheetName val="Transferência_Internacio_10"/>
      <sheetName val="6_-_Analítico4"/>
      <sheetName val="dep_pre4"/>
      <sheetName val="Chart_data4"/>
      <sheetName val="Fixed_and_Variable_Expenses1"/>
      <sheetName val="Income_Statement_Data1"/>
      <sheetName val="FJJX_Bud_IB"/>
      <sheetName val="FlowChart"/>
      <sheetName val="SDCA Checkpoint"/>
      <sheetName val="MENU"/>
      <sheetName val="Step 01"/>
      <sheetName val="Problem Statement"/>
      <sheetName val="ITF Page"/>
      <sheetName val="PDCA Page"/>
      <sheetName val="Current Time Series"/>
      <sheetName val="Time Series Trap"/>
      <sheetName val="KPI Tree"/>
      <sheetName val="GOP"/>
      <sheetName val="Customers Voice"/>
      <sheetName val="Step 02"/>
      <sheetName val="Histogram"/>
      <sheetName val="Histogram (2)"/>
      <sheetName val="Pareto"/>
      <sheetName val="Data Collection Plan"/>
      <sheetName val="GEMBA"/>
      <sheetName val="BoxPlot"/>
      <sheetName val="Tree Diagram"/>
      <sheetName val="Tree_Diagram_TRAP"/>
      <sheetName val="Additional Data Tab"/>
      <sheetName val="Step 3"/>
      <sheetName val="Cause and Effect"/>
      <sheetName val="Cause_and_Effect_Trap"/>
      <sheetName val="5 WHYs"/>
      <sheetName val="5_WHY_Trap"/>
      <sheetName val="Process Mapping"/>
      <sheetName val="Dispersion Chart"/>
      <sheetName val="Dispersion Chart (2)"/>
      <sheetName val="Dispersion Chart (3)"/>
      <sheetName val="Control Letter"/>
      <sheetName val="Control Letter (2)"/>
      <sheetName val="Control Letter (3)"/>
      <sheetName val="Additional Data Tab (2)"/>
      <sheetName val="Step 04"/>
      <sheetName val="Impact Matrix"/>
      <sheetName val="Action Plan"/>
      <sheetName val="Sheet1"/>
      <sheetName val="Gantt"/>
      <sheetName val="Step 5"/>
      <sheetName val="Step 6"/>
      <sheetName val="Results Check"/>
      <sheetName val="Check_IVs"/>
      <sheetName val="Chk_Iv_Trap"/>
      <sheetName val="Step 7"/>
      <sheetName val="Standardize"/>
      <sheetName val="Risk Analysis"/>
      <sheetName val="Step 8"/>
      <sheetName val="SDCA Implementation"/>
      <sheetName val="Conclusion"/>
      <sheetName val="Sheet2"/>
      <sheetName val="REGRESSÃO_20_MESES14"/>
      <sheetName val="REGRESSÃO_12_MESES14"/>
      <sheetName val="REGRESSÃO_6_MESES14"/>
      <sheetName val="REGRESSÃO_30_DIAS14"/>
      <sheetName val="VALOR_DA_EMPRESA14"/>
      <sheetName val="Dados_BLP14"/>
      <sheetName val="Unidades_SAC-REVENDA14"/>
      <sheetName val="REALxMETA_-_CERVEJA14"/>
      <sheetName val="REALxMETA_-_REFRI14"/>
      <sheetName val="Calc_114"/>
      <sheetName val="Share_Price_200213"/>
      <sheetName val="Brazil_Sovereign13"/>
      <sheetName val="Pareto_RSM's13"/>
      <sheetName val="CLASIFICACION_DE_AI13"/>
      <sheetName val="TARJETAS_BLANCAS13"/>
      <sheetName val="Transferência_Internacio_11"/>
      <sheetName val="6_-_Analítico5"/>
      <sheetName val="dep_pre5"/>
      <sheetName val="Chart_data5"/>
      <sheetName val="Fixed_and_Variable_Expenses2"/>
      <sheetName val="Income_Statement_Data2"/>
      <sheetName val="FJJX_Bud_IB1"/>
      <sheetName val="SDCA_Checkpoint"/>
      <sheetName val="Step_01"/>
      <sheetName val="Problem_Statement"/>
      <sheetName val="ITF_Page"/>
      <sheetName val="PDCA_Page"/>
      <sheetName val="Current_Time_Series"/>
      <sheetName val="Time_Series_Trap"/>
      <sheetName val="KPI_Tree"/>
      <sheetName val="Customers_Voice"/>
      <sheetName val="Step_02"/>
      <sheetName val="Histogram_(2)"/>
      <sheetName val="Data_Collection_Plan"/>
      <sheetName val="Tree_Diagram"/>
      <sheetName val="Additional_Data_Tab"/>
      <sheetName val="Step_3"/>
      <sheetName val="Cause_and_Effect"/>
      <sheetName val="5_WHYs"/>
      <sheetName val="Process_Mapping"/>
      <sheetName val="Dispersion_Chart"/>
      <sheetName val="Dispersion_Chart_(2)"/>
      <sheetName val="Dispersion_Chart_(3)"/>
      <sheetName val="Control_Letter"/>
      <sheetName val="Control_Letter_(2)"/>
      <sheetName val="Control_Letter_(3)"/>
      <sheetName val="Additional_Data_Tab_(2)"/>
      <sheetName val="Step_04"/>
      <sheetName val="Impact_Matrix"/>
      <sheetName val="Action_Plan"/>
      <sheetName val="Step_5"/>
      <sheetName val="Step_6"/>
      <sheetName val="Results_Check"/>
      <sheetName val="Step_7"/>
      <sheetName val="Risk_Analysis"/>
      <sheetName val="Step_8"/>
      <sheetName val="SDCA_Implementation"/>
      <sheetName val="REGRESSÃO_20_MESES15"/>
      <sheetName val="REGRESSÃO_12_MESES15"/>
      <sheetName val="REGRESSÃO_6_MESES15"/>
      <sheetName val="REGRESSÃO_30_DIAS15"/>
      <sheetName val="VALOR_DA_EMPRESA15"/>
      <sheetName val="Dados_BLP15"/>
      <sheetName val="Unidades_SAC-REVENDA15"/>
      <sheetName val="REALxMETA_-_CERVEJA15"/>
      <sheetName val="REALxMETA_-_REFRI15"/>
      <sheetName val="Calc_115"/>
      <sheetName val="Share_Price_200214"/>
      <sheetName val="Brazil_Sovereign14"/>
      <sheetName val="Pareto_RSM's14"/>
      <sheetName val="CLASIFICACION_DE_AI14"/>
      <sheetName val="TARJETAS_BLANCAS14"/>
      <sheetName val="Transferência_Internacio_12"/>
      <sheetName val="6_-_Analítico6"/>
      <sheetName val="dep_pre6"/>
      <sheetName val="Chart_data6"/>
      <sheetName val="FJJX_Bud_IB2"/>
      <sheetName val="Fixed_and_Variable_Expenses3"/>
      <sheetName val="Income_Statement_Data3"/>
      <sheetName val="SDCA_Checkpoint1"/>
      <sheetName val="Step_011"/>
      <sheetName val="Problem_Statement1"/>
      <sheetName val="ITF_Page1"/>
      <sheetName val="PDCA_Page1"/>
      <sheetName val="Current_Time_Series1"/>
      <sheetName val="Time_Series_Trap1"/>
      <sheetName val="KPI_Tree1"/>
      <sheetName val="Customers_Voice1"/>
      <sheetName val="Step_021"/>
      <sheetName val="Histogram_(2)1"/>
      <sheetName val="Data_Collection_Plan1"/>
      <sheetName val="Tree_Diagram1"/>
      <sheetName val="Additional_Data_Tab1"/>
      <sheetName val="Step_31"/>
      <sheetName val="Cause_and_Effect1"/>
      <sheetName val="5_WHYs1"/>
      <sheetName val="Process_Mapping1"/>
      <sheetName val="Dispersion_Chart1"/>
      <sheetName val="Dispersion_Chart_(2)1"/>
      <sheetName val="Dispersion_Chart_(3)1"/>
      <sheetName val="Control_Letter1"/>
      <sheetName val="Control_Letter_(2)1"/>
      <sheetName val="Control_Letter_(3)1"/>
      <sheetName val="Additional_Data_Tab_(2)1"/>
      <sheetName val="Step_041"/>
      <sheetName val="Impact_Matrix1"/>
      <sheetName val="Action_Plan1"/>
      <sheetName val="Step_51"/>
      <sheetName val="Step_61"/>
      <sheetName val="Results_Check1"/>
      <sheetName val="Step_71"/>
      <sheetName val="Risk_Analysis1"/>
      <sheetName val="Step_81"/>
      <sheetName val="SDCA_Implementation1"/>
      <sheetName val="REGRESSÃO_20_MESES16"/>
      <sheetName val="REGRESSÃO_12_MESES16"/>
      <sheetName val="REGRESSÃO_6_MESES16"/>
      <sheetName val="REGRESSÃO_30_DIAS16"/>
      <sheetName val="VALOR_DA_EMPRESA16"/>
      <sheetName val="Dados_BLP16"/>
      <sheetName val="Unidades_SAC-REVENDA16"/>
      <sheetName val="REALxMETA_-_CERVEJA16"/>
      <sheetName val="REALxMETA_-_REFRI16"/>
      <sheetName val="Calc_116"/>
      <sheetName val="Brazil_Sovereign15"/>
      <sheetName val="Pareto_RSM's15"/>
      <sheetName val="Share_Price_200215"/>
      <sheetName val="CLASIFICACION_DE_AI15"/>
      <sheetName val="TARJETAS_BLANCAS15"/>
      <sheetName val="Transferência_Internacio_13"/>
      <sheetName val="6_-_Analítico7"/>
      <sheetName val="dep_pre7"/>
      <sheetName val="Chart_data7"/>
      <sheetName val="FJJX_Bud_IB3"/>
      <sheetName val="Fixed_and_Variable_Expenses4"/>
      <sheetName val="Income_Statement_Data4"/>
      <sheetName val="SDCA_Checkpoint2"/>
      <sheetName val="Step_012"/>
      <sheetName val="Problem_Statement2"/>
      <sheetName val="ITF_Page2"/>
      <sheetName val="PDCA_Page2"/>
      <sheetName val="Current_Time_Series2"/>
      <sheetName val="Time_Series_Trap2"/>
      <sheetName val="KPI_Tree2"/>
      <sheetName val="Customers_Voice2"/>
      <sheetName val="Step_022"/>
      <sheetName val="Histogram_(2)2"/>
      <sheetName val="Data_Collection_Plan2"/>
      <sheetName val="Tree_Diagram2"/>
      <sheetName val="Additional_Data_Tab2"/>
      <sheetName val="Step_32"/>
      <sheetName val="Cause_and_Effect2"/>
      <sheetName val="5_WHYs2"/>
      <sheetName val="Process_Mapping2"/>
      <sheetName val="Dispersion_Chart2"/>
      <sheetName val="Dispersion_Chart_(2)2"/>
      <sheetName val="Dispersion_Chart_(3)2"/>
      <sheetName val="Control_Letter2"/>
      <sheetName val="Control_Letter_(2)2"/>
      <sheetName val="Control_Letter_(3)2"/>
      <sheetName val="Additional_Data_Tab_(2)2"/>
      <sheetName val="Step_042"/>
      <sheetName val="Impact_Matrix2"/>
      <sheetName val="Action_Plan2"/>
      <sheetName val="Step_52"/>
      <sheetName val="Step_62"/>
      <sheetName val="Results_Check2"/>
      <sheetName val="Step_72"/>
      <sheetName val="Risk_Analysis2"/>
      <sheetName val="Step_82"/>
      <sheetName val="SDCA_Implementation2"/>
      <sheetName val="REGRESSÃO_20_MESES17"/>
      <sheetName val="REGRESSÃO_12_MESES17"/>
      <sheetName val="REGRESSÃO_6_MESES17"/>
      <sheetName val="REGRESSÃO_30_DIAS17"/>
      <sheetName val="VALOR_DA_EMPRESA17"/>
      <sheetName val="Dados_BLP17"/>
      <sheetName val="Unidades_SAC-REVENDA17"/>
      <sheetName val="REALxMETA_-_CERVEJA17"/>
      <sheetName val="REALxMETA_-_REFRI17"/>
      <sheetName val="Calc_117"/>
      <sheetName val="Brazil_Sovereign16"/>
      <sheetName val="Share_Price_200216"/>
      <sheetName val="Pareto_RSM's16"/>
      <sheetName val="CLASIFICACION_DE_AI16"/>
      <sheetName val="TARJETAS_BLANCAS16"/>
      <sheetName val="Transferência_Internacio_14"/>
      <sheetName val="6_-_Analítico8"/>
      <sheetName val="dep_pre8"/>
      <sheetName val="Chart_data8"/>
      <sheetName val="FJJX_Bud_IB4"/>
      <sheetName val="Fixed_and_Variable_Expenses5"/>
      <sheetName val="Income_Statement_Data5"/>
      <sheetName val="SDCA_Checkpoint3"/>
      <sheetName val="Step_013"/>
      <sheetName val="Problem_Statement3"/>
      <sheetName val="ITF_Page3"/>
      <sheetName val="PDCA_Page3"/>
      <sheetName val="Current_Time_Series3"/>
      <sheetName val="Time_Series_Trap3"/>
      <sheetName val="KPI_Tree3"/>
      <sheetName val="Customers_Voice3"/>
      <sheetName val="Step_023"/>
      <sheetName val="Histogram_(2)3"/>
      <sheetName val="Data_Collection_Plan3"/>
      <sheetName val="Tree_Diagram3"/>
      <sheetName val="Additional_Data_Tab3"/>
      <sheetName val="Step_33"/>
      <sheetName val="Cause_and_Effect3"/>
      <sheetName val="5_WHYs3"/>
      <sheetName val="Process_Mapping3"/>
      <sheetName val="Dispersion_Chart3"/>
      <sheetName val="Dispersion_Chart_(2)3"/>
      <sheetName val="Dispersion_Chart_(3)3"/>
      <sheetName val="Control_Letter3"/>
      <sheetName val="Control_Letter_(2)3"/>
      <sheetName val="Control_Letter_(3)3"/>
      <sheetName val="Additional_Data_Tab_(2)3"/>
      <sheetName val="Step_043"/>
      <sheetName val="Impact_Matrix3"/>
      <sheetName val="Action_Plan3"/>
      <sheetName val="Step_53"/>
      <sheetName val="Step_63"/>
      <sheetName val="Results_Check3"/>
      <sheetName val="Step_73"/>
      <sheetName val="Risk_Analysis3"/>
      <sheetName val="Step_83"/>
      <sheetName val="SDCA_Implementation3"/>
      <sheetName val="REGRESSÃO_20_MESES18"/>
      <sheetName val="REGRESSÃO_12_MESES18"/>
      <sheetName val="REGRESSÃO_6_MESES18"/>
      <sheetName val="REGRESSÃO_30_DIAS18"/>
      <sheetName val="VALOR_DA_EMPRESA18"/>
      <sheetName val="Dados_BLP18"/>
      <sheetName val="Calc_118"/>
      <sheetName val="Unidades_SAC-REVENDA18"/>
      <sheetName val="REALxMETA_-_CERVEJA18"/>
      <sheetName val="REALxMETA_-_REFRI18"/>
      <sheetName val="Brazil_Sovereign17"/>
      <sheetName val="Pareto_RSM's17"/>
      <sheetName val="Share_Price_200217"/>
      <sheetName val="CLASIFICACION_DE_AI17"/>
      <sheetName val="TARJETAS_BLANCAS17"/>
      <sheetName val="Transferência_Internacio_15"/>
      <sheetName val="6_-_Analítico9"/>
      <sheetName val="dep_pre9"/>
      <sheetName val="Chart_data9"/>
      <sheetName val="FJJX_Bud_IB5"/>
      <sheetName val="Fixed_and_Variable_Expenses6"/>
      <sheetName val="Income_Statement_Data6"/>
      <sheetName val="SDCA_Checkpoint4"/>
      <sheetName val="Step_014"/>
      <sheetName val="Problem_Statement4"/>
      <sheetName val="ITF_Page4"/>
      <sheetName val="PDCA_Page4"/>
      <sheetName val="Current_Time_Series4"/>
      <sheetName val="Time_Series_Trap4"/>
      <sheetName val="KPI_Tree4"/>
      <sheetName val="Customers_Voice4"/>
      <sheetName val="Step_024"/>
      <sheetName val="Histogram_(2)4"/>
      <sheetName val="Data_Collection_Plan4"/>
      <sheetName val="Tree_Diagram4"/>
      <sheetName val="Additional_Data_Tab4"/>
      <sheetName val="Step_34"/>
      <sheetName val="Cause_and_Effect4"/>
      <sheetName val="5_WHYs4"/>
      <sheetName val="Process_Mapping4"/>
      <sheetName val="Dispersion_Chart4"/>
      <sheetName val="Dispersion_Chart_(2)4"/>
      <sheetName val="Dispersion_Chart_(3)4"/>
      <sheetName val="Control_Letter4"/>
      <sheetName val="Control_Letter_(2)4"/>
      <sheetName val="Control_Letter_(3)4"/>
      <sheetName val="Additional_Data_Tab_(2)4"/>
      <sheetName val="Step_044"/>
      <sheetName val="Impact_Matrix4"/>
      <sheetName val="Action_Plan4"/>
      <sheetName val="Step_54"/>
      <sheetName val="Step_64"/>
      <sheetName val="Results_Check4"/>
      <sheetName val="Step_74"/>
      <sheetName val="Risk_Analysis4"/>
      <sheetName val="Step_84"/>
      <sheetName val="SDCA_Implementation4"/>
      <sheetName val="5 Bars"/>
      <sheetName val="REGRESSÃO_20_MESES19"/>
      <sheetName val="REGRESSÃO_12_MESES19"/>
      <sheetName val="REGRESSÃO_6_MESES19"/>
      <sheetName val="REGRESSÃO_30_DIAS19"/>
      <sheetName val="VALOR_DA_EMPRESA19"/>
      <sheetName val="Dados_BLP19"/>
      <sheetName val="Calc_119"/>
      <sheetName val="Unidades_SAC-REVENDA19"/>
      <sheetName val="REALxMETA_-_CERVEJA19"/>
      <sheetName val="REALxMETA_-_REFRI19"/>
      <sheetName val="Brazil_Sovereign18"/>
      <sheetName val="Share_Price_200218"/>
      <sheetName val="Pareto_RSM's18"/>
      <sheetName val="CLASIFICACION_DE_AI18"/>
      <sheetName val="TARJETAS_BLANCAS18"/>
      <sheetName val="Transferência_Internacio_16"/>
      <sheetName val="6_-_Analítico10"/>
      <sheetName val="dep_pre10"/>
      <sheetName val="Chart_data10"/>
      <sheetName val="FJJX_Bud_IB6"/>
      <sheetName val="Fixed_and_Variable_Expenses7"/>
      <sheetName val="Income_Statement_Data7"/>
      <sheetName val="SDCA_Checkpoint5"/>
      <sheetName val="Step_015"/>
      <sheetName val="Problem_Statement5"/>
      <sheetName val="ITF_Page5"/>
      <sheetName val="PDCA_Page5"/>
      <sheetName val="Current_Time_Series5"/>
      <sheetName val="Time_Series_Trap5"/>
      <sheetName val="KPI_Tree5"/>
      <sheetName val="Customers_Voice5"/>
      <sheetName val="Step_025"/>
      <sheetName val="Histogram_(2)5"/>
      <sheetName val="Data_Collection_Plan5"/>
      <sheetName val="Tree_Diagram5"/>
      <sheetName val="Additional_Data_Tab5"/>
      <sheetName val="Step_35"/>
      <sheetName val="Cause_and_Effect5"/>
      <sheetName val="5_WHYs5"/>
      <sheetName val="Process_Mapping5"/>
      <sheetName val="Dispersion_Chart5"/>
      <sheetName val="Dispersion_Chart_(2)5"/>
      <sheetName val="Dispersion_Chart_(3)5"/>
      <sheetName val="Control_Letter5"/>
      <sheetName val="Control_Letter_(2)5"/>
      <sheetName val="Control_Letter_(3)5"/>
      <sheetName val="Additional_Data_Tab_(2)5"/>
      <sheetName val="Step_045"/>
      <sheetName val="Impact_Matrix5"/>
      <sheetName val="Action_Plan5"/>
      <sheetName val="Step_55"/>
      <sheetName val="Step_65"/>
      <sheetName val="Results_Check5"/>
      <sheetName val="Step_75"/>
      <sheetName val="Risk_Analysis5"/>
      <sheetName val="Step_85"/>
      <sheetName val="SDCA_Implementation5"/>
      <sheetName val="5_Bars"/>
      <sheetName val="Volumes"/>
      <sheetName val="Tabelas Antarctica"/>
      <sheetName val="Tabelas Brahma"/>
      <sheetName val="Consolidado Escore"/>
      <sheetName val="Tabelas Skol"/>
      <sheetName val="Dados do Packaging"/>
      <sheetName val="REGRESSÃO_20_MESES20"/>
      <sheetName val="REGRESSÃO_12_MESES20"/>
      <sheetName val="REGRESSÃO_6_MESES20"/>
      <sheetName val="REGRESSÃO_30_DIAS20"/>
      <sheetName val="VALOR_DA_EMPRESA20"/>
      <sheetName val="Dados_BLP20"/>
      <sheetName val="Unidades_SAC-REVENDA20"/>
      <sheetName val="REALxMETA_-_CERVEJA20"/>
      <sheetName val="REALxMETA_-_REFRI20"/>
      <sheetName val="Calc_120"/>
      <sheetName val="Brazil_Sovereign19"/>
      <sheetName val="Pareto_RSM's19"/>
      <sheetName val="Share_Price_200219"/>
      <sheetName val="CLASIFICACION_DE_AI19"/>
      <sheetName val="TARJETAS_BLANCAS19"/>
      <sheetName val="Transferência_Internacio_17"/>
      <sheetName val="6_-_Analítico11"/>
      <sheetName val="dep_pre11"/>
      <sheetName val="Chart_data11"/>
      <sheetName val="FJJX_Bud_IB7"/>
      <sheetName val="Fixed_and_Variable_Expenses8"/>
      <sheetName val="Income_Statement_Data8"/>
      <sheetName val="SDCA_Checkpoint6"/>
      <sheetName val="Step_016"/>
      <sheetName val="Problem_Statement6"/>
      <sheetName val="ITF_Page6"/>
      <sheetName val="PDCA_Page6"/>
      <sheetName val="Current_Time_Series6"/>
      <sheetName val="Time_Series_Trap6"/>
      <sheetName val="KPI_Tree6"/>
      <sheetName val="Customers_Voice6"/>
      <sheetName val="Step_026"/>
      <sheetName val="Histogram_(2)6"/>
      <sheetName val="Data_Collection_Plan6"/>
      <sheetName val="Tree_Diagram6"/>
      <sheetName val="Additional_Data_Tab6"/>
      <sheetName val="Step_36"/>
      <sheetName val="Cause_and_Effect6"/>
      <sheetName val="5_WHYs6"/>
      <sheetName val="Process_Mapping6"/>
      <sheetName val="Dispersion_Chart6"/>
      <sheetName val="Dispersion_Chart_(2)6"/>
      <sheetName val="Dispersion_Chart_(3)6"/>
      <sheetName val="Control_Letter6"/>
      <sheetName val="Control_Letter_(2)6"/>
      <sheetName val="Control_Letter_(3)6"/>
      <sheetName val="Additional_Data_Tab_(2)6"/>
      <sheetName val="Step_046"/>
      <sheetName val="Impact_Matrix6"/>
      <sheetName val="Action_Plan6"/>
      <sheetName val="Step_56"/>
      <sheetName val="Step_66"/>
      <sheetName val="Results_Check6"/>
      <sheetName val="Step_76"/>
      <sheetName val="Risk_Analysis6"/>
      <sheetName val="Step_86"/>
      <sheetName val="SDCA_Implementation6"/>
      <sheetName val="5_Bars1"/>
      <sheetName val="NRMixData_YTG"/>
      <sheetName val="Ref"/>
      <sheetName val="Sheet3"/>
      <sheetName val="List"/>
      <sheetName val="Overview Waterfall"/>
      <sheetName val="misc"/>
      <sheetName val="MACOMixData"/>
      <sheetName val="NRMixData"/>
      <sheetName val="NRMixData_YTD"/>
      <sheetName val="Segmentacion"/>
      <sheetName val="Overview_Waterfall"/>
      <sheetName val="MMR12活动类型"/>
      <sheetName val="Region"/>
      <sheetName val="SKU代码"/>
      <sheetName val="TRCode"/>
      <sheetName val="渠道"/>
      <sheetName val="Pillars"/>
      <sheetName val="calcs"/>
      <sheetName val="Config"/>
      <sheetName val="Árvore"/>
      <sheetName val="REGRESSÃO_20_MESES21"/>
      <sheetName val="REGRESSÃO_12_MESES21"/>
      <sheetName val="REGRESSÃO_6_MESES21"/>
      <sheetName val="REGRESSÃO_30_DIAS21"/>
      <sheetName val="VALOR_DA_EMPRESA21"/>
      <sheetName val="Dados_BLP21"/>
      <sheetName val="Calc_121"/>
      <sheetName val="Unidades_SAC-REVENDA21"/>
      <sheetName val="REALxMETA_-_CERVEJA21"/>
      <sheetName val="REALxMETA_-_REFRI21"/>
      <sheetName val="Share_Price_200220"/>
      <sheetName val="Brazil_Sovereign20"/>
      <sheetName val="Pareto_RSM's20"/>
      <sheetName val="CLASIFICACION_DE_AI20"/>
      <sheetName val="TARJETAS_BLANCAS20"/>
      <sheetName val="Transferência_Internacio_18"/>
      <sheetName val="6_-_Analítico12"/>
      <sheetName val="dep_pre12"/>
      <sheetName val="Chart_data12"/>
      <sheetName val="Fixed_and_Variable_Expenses9"/>
      <sheetName val="Income_Statement_Data9"/>
      <sheetName val="FJJX_Bud_IB8"/>
      <sheetName val="SDCA_Checkpoint7"/>
      <sheetName val="Step_017"/>
      <sheetName val="Problem_Statement7"/>
      <sheetName val="ITF_Page7"/>
      <sheetName val="PDCA_Page7"/>
      <sheetName val="Current_Time_Series7"/>
      <sheetName val="Time_Series_Trap7"/>
      <sheetName val="KPI_Tree7"/>
      <sheetName val="Customers_Voice7"/>
      <sheetName val="Step_027"/>
      <sheetName val="Histogram_(2)7"/>
      <sheetName val="Data_Collection_Plan7"/>
      <sheetName val="Tree_Diagram7"/>
      <sheetName val="Additional_Data_Tab7"/>
      <sheetName val="Step_37"/>
      <sheetName val="Cause_and_Effect7"/>
      <sheetName val="5_WHYs7"/>
      <sheetName val="Process_Mapping7"/>
      <sheetName val="Dispersion_Chart7"/>
      <sheetName val="Dispersion_Chart_(2)7"/>
      <sheetName val="Dispersion_Chart_(3)7"/>
      <sheetName val="Control_Letter7"/>
      <sheetName val="Control_Letter_(2)7"/>
      <sheetName val="Control_Letter_(3)7"/>
      <sheetName val="Additional_Data_Tab_(2)7"/>
      <sheetName val="Step_047"/>
      <sheetName val="Impact_Matrix7"/>
      <sheetName val="Action_Plan7"/>
      <sheetName val="Step_57"/>
      <sheetName val="Step_67"/>
      <sheetName val="Results_Check7"/>
      <sheetName val="Step_77"/>
      <sheetName val="Risk_Analysis7"/>
      <sheetName val="Step_87"/>
      <sheetName val="SDCA_Implementation7"/>
      <sheetName val="5_Bars2"/>
      <sheetName val="Output"/>
      <sheetName val="Tabelas_Antarctica"/>
      <sheetName val="Tabelas_Brahma"/>
      <sheetName val="Consolidado_Escore"/>
      <sheetName val="Tabelas_Skol"/>
      <sheetName val="Dados_do_Packaging"/>
      <sheetName val="REGRESSÃO_20_MESES22"/>
      <sheetName val="REGRESSÃO_12_MESES22"/>
      <sheetName val="REGRESSÃO_6_MESES22"/>
      <sheetName val="REGRESSÃO_30_DIAS22"/>
      <sheetName val="VALOR_DA_EMPRESA22"/>
      <sheetName val="Dados_BLP22"/>
      <sheetName val="Unidades_SAC-REVENDA22"/>
      <sheetName val="REALxMETA_-_CERVEJA22"/>
      <sheetName val="REALxMETA_-_REFRI22"/>
      <sheetName val="Calc_122"/>
      <sheetName val="Brazil_Sovereign21"/>
      <sheetName val="Pareto_RSM's21"/>
      <sheetName val="Share_Price_200221"/>
      <sheetName val="CLASIFICACION_DE_AI21"/>
      <sheetName val="TARJETAS_BLANCAS21"/>
      <sheetName val="Transferência_Internacio_19"/>
      <sheetName val="6_-_Analítico13"/>
      <sheetName val="dep_pre13"/>
      <sheetName val="Chart_data13"/>
      <sheetName val="FJJX_Bud_IB9"/>
      <sheetName val="Fixed_and_Variable_Expenses10"/>
      <sheetName val="Income_Statement_Data10"/>
      <sheetName val="SDCA_Checkpoint8"/>
      <sheetName val="Step_018"/>
      <sheetName val="Problem_Statement8"/>
      <sheetName val="ITF_Page8"/>
      <sheetName val="PDCA_Page8"/>
      <sheetName val="Current_Time_Series8"/>
      <sheetName val="Time_Series_Trap8"/>
      <sheetName val="KPI_Tree8"/>
      <sheetName val="Customers_Voice8"/>
      <sheetName val="Step_028"/>
      <sheetName val="Histogram_(2)8"/>
      <sheetName val="Data_Collection_Plan8"/>
      <sheetName val="Tree_Diagram8"/>
      <sheetName val="Additional_Data_Tab8"/>
      <sheetName val="Step_38"/>
      <sheetName val="Cause_and_Effect8"/>
      <sheetName val="5_WHYs8"/>
      <sheetName val="Process_Mapping8"/>
      <sheetName val="Dispersion_Chart8"/>
      <sheetName val="Dispersion_Chart_(2)8"/>
      <sheetName val="Dispersion_Chart_(3)8"/>
      <sheetName val="Control_Letter8"/>
      <sheetName val="Control_Letter_(2)8"/>
      <sheetName val="Control_Letter_(3)8"/>
      <sheetName val="Additional_Data_Tab_(2)8"/>
      <sheetName val="Step_048"/>
      <sheetName val="Impact_Matrix8"/>
      <sheetName val="Action_Plan8"/>
      <sheetName val="Step_58"/>
      <sheetName val="Step_68"/>
      <sheetName val="Results_Check8"/>
      <sheetName val="Step_78"/>
      <sheetName val="Risk_Analysis8"/>
      <sheetName val="Step_88"/>
      <sheetName val="SDCA_Implementation8"/>
      <sheetName val="5_Bars3"/>
      <sheetName val="Tabelas_Antarctica1"/>
      <sheetName val="Tabelas_Brahma1"/>
      <sheetName val="Consolidado_Escore1"/>
      <sheetName val="Tabelas_Skol1"/>
      <sheetName val="Dados_do_Packaging1"/>
      <sheetName val="RG Depots"/>
      <sheetName val="1.4SKU"/>
      <sheetName val="Overview_Waterfall1"/>
      <sheetName val="REGRESSÃO_20_MESES23"/>
      <sheetName val="REGRESSÃO_12_MESES23"/>
      <sheetName val="REGRESSÃO_6_MESES23"/>
      <sheetName val="REGRESSÃO_30_DIAS23"/>
      <sheetName val="VALOR_DA_EMPRESA23"/>
      <sheetName val="Dados_BLP23"/>
      <sheetName val="Calc_123"/>
      <sheetName val="Unidades_SAC-REVENDA23"/>
      <sheetName val="REALxMETA_-_CERVEJA23"/>
      <sheetName val="REALxMETA_-_REFRI23"/>
      <sheetName val="Brazil_Sovereign22"/>
      <sheetName val="Share_Price_200222"/>
      <sheetName val="Pareto_RSM's22"/>
      <sheetName val="CLASIFICACION_DE_AI22"/>
      <sheetName val="TARJETAS_BLANCAS22"/>
      <sheetName val="Transferência_Internacio_20"/>
      <sheetName val="6_-_Analítico14"/>
      <sheetName val="dep_pre14"/>
      <sheetName val="Chart_data14"/>
      <sheetName val="FJJX_Bud_IB10"/>
      <sheetName val="Fixed_and_Variable_Expenses11"/>
      <sheetName val="Income_Statement_Data11"/>
      <sheetName val="SDCA_Checkpoint9"/>
      <sheetName val="Step_019"/>
      <sheetName val="Problem_Statement9"/>
      <sheetName val="ITF_Page9"/>
      <sheetName val="PDCA_Page9"/>
      <sheetName val="Current_Time_Series9"/>
      <sheetName val="Time_Series_Trap9"/>
      <sheetName val="KPI_Tree9"/>
      <sheetName val="Customers_Voice9"/>
      <sheetName val="Step_029"/>
      <sheetName val="Histogram_(2)9"/>
      <sheetName val="Data_Collection_Plan9"/>
      <sheetName val="Tree_Diagram9"/>
      <sheetName val="Additional_Data_Tab9"/>
      <sheetName val="Step_39"/>
      <sheetName val="Cause_and_Effect9"/>
      <sheetName val="5_WHYs9"/>
      <sheetName val="Process_Mapping9"/>
      <sheetName val="Dispersion_Chart9"/>
      <sheetName val="Dispersion_Chart_(2)9"/>
      <sheetName val="Dispersion_Chart_(3)9"/>
      <sheetName val="Control_Letter9"/>
      <sheetName val="Control_Letter_(2)9"/>
      <sheetName val="Control_Letter_(3)9"/>
      <sheetName val="Additional_Data_Tab_(2)9"/>
      <sheetName val="Step_049"/>
      <sheetName val="Impact_Matrix9"/>
      <sheetName val="Action_Plan9"/>
      <sheetName val="Step_59"/>
      <sheetName val="Step_69"/>
      <sheetName val="Results_Check9"/>
      <sheetName val="Step_79"/>
      <sheetName val="Risk_Analysis9"/>
      <sheetName val="Step_89"/>
      <sheetName val="SDCA_Implementation9"/>
      <sheetName val="5_Bars4"/>
      <sheetName val="Tabelas_Antarctica2"/>
      <sheetName val="Tabelas_Brahma2"/>
      <sheetName val="Consolidado_Escore2"/>
      <sheetName val="Tabelas_Skol2"/>
      <sheetName val="Dados_do_Packaging2"/>
      <sheetName val="Selection_Setting"/>
      <sheetName val="1_Overview"/>
      <sheetName val="Set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 refreshError="1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 refreshError="1"/>
      <sheetData sheetId="234" refreshError="1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 refreshError="1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 refreshError="1"/>
      <sheetData sheetId="899" refreshError="1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 refreshError="1"/>
      <sheetData sheetId="965" refreshError="1"/>
      <sheetData sheetId="96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"/>
      <sheetName val="Promedio 30 días"/>
      <sheetName val="Promedio 200 días"/>
      <sheetName val="Mensual"/>
      <sheetName val="Trimestral"/>
      <sheetName val="Serio Mensual"/>
      <sheetName val="Diario desde 1986"/>
      <sheetName val="TASAS 2"/>
      <sheetName val="Promedio_30_días"/>
      <sheetName val="Promedio_200_días"/>
      <sheetName val="Serio_Mensual"/>
      <sheetName val="Diario_desde_1986"/>
      <sheetName val="TASAS_2"/>
      <sheetName val="Promedio_30_días1"/>
      <sheetName val="Promedio_200_días1"/>
      <sheetName val="Serio_Mensual1"/>
      <sheetName val="Diario_desde_19861"/>
      <sheetName val="TASAS_21"/>
      <sheetName val="Promedio_30_días2"/>
      <sheetName val="Promedio_200_días2"/>
      <sheetName val="Serio_Mensual2"/>
      <sheetName val="Diario_desde_19862"/>
      <sheetName val="TASAS_22"/>
      <sheetName val="Dados BLP"/>
      <sheetName val="Promedio_30_días3"/>
      <sheetName val="Promedio_200_días3"/>
      <sheetName val="Serio_Mensual3"/>
      <sheetName val="Diario_desde_19863"/>
      <sheetName val="TASAS_23"/>
      <sheetName val="Promedio_30_días4"/>
      <sheetName val="Promedio_200_días4"/>
      <sheetName val="Serio_Mensual4"/>
      <sheetName val="Diario_desde_19864"/>
      <sheetName val="TASAS_24"/>
      <sheetName val="Dados_BLP"/>
      <sheetName val="Promedio_30_días5"/>
      <sheetName val="Promedio_200_días5"/>
      <sheetName val="Serio_Mensual5"/>
      <sheetName val="Diario_desde_19865"/>
      <sheetName val="TASAS_25"/>
      <sheetName val="Dados_BLP1"/>
      <sheetName val="IVA-DEC"/>
      <sheetName val="Promedio_30_días6"/>
      <sheetName val="Promedio_200_días6"/>
      <sheetName val="Serio_Mensual6"/>
      <sheetName val="Diario_desde_19866"/>
      <sheetName val="TASAS_26"/>
      <sheetName val="Dados_BLP2"/>
      <sheetName val="Promedio_30_días7"/>
      <sheetName val="Promedio_200_días7"/>
      <sheetName val="Serio_Mensual7"/>
      <sheetName val="Diario_desde_19867"/>
      <sheetName val="TASAS_27"/>
      <sheetName val="Dados_BLP3"/>
      <sheetName val="Promedio_30_días8"/>
      <sheetName val="Promedio_200_días8"/>
      <sheetName val="Serio_Mensual8"/>
      <sheetName val="Diario_desde_19868"/>
      <sheetName val="TASAS_28"/>
      <sheetName val="Dados_BLP4"/>
      <sheetName val="Promedio_30_días9"/>
      <sheetName val="Promedio_200_días9"/>
      <sheetName val="Serio_Mensual9"/>
      <sheetName val="Diario_desde_19869"/>
      <sheetName val="TASAS_29"/>
      <sheetName val="Dados_BLP5"/>
      <sheetName val="Promedio_30_días10"/>
      <sheetName val="Promedio_200_días10"/>
      <sheetName val="Serio_Mensual10"/>
      <sheetName val="Diario_desde_198610"/>
      <sheetName val="TASAS_210"/>
      <sheetName val="Dados_BLP6"/>
      <sheetName val="COTAÇÕES"/>
      <sheetName val="BLP"/>
      <sheetName val="Promedio_30_días11"/>
      <sheetName val="Promedio_200_días11"/>
      <sheetName val="Serio_Mensual11"/>
      <sheetName val="Diario_desde_198611"/>
      <sheetName val="TASAS_211"/>
      <sheetName val="Dados_BLP7"/>
      <sheetName val="Promedio_30_días12"/>
      <sheetName val="Promedio_200_días12"/>
      <sheetName val="Serio_Mensual12"/>
      <sheetName val="Diario_desde_198612"/>
      <sheetName val="TASAS_212"/>
      <sheetName val="Dados_BLP8"/>
      <sheetName val="Promedio_30_días13"/>
      <sheetName val="Promedio_200_días13"/>
      <sheetName val="Serio_Mensual13"/>
      <sheetName val="Diario_desde_198613"/>
      <sheetName val="TASAS_213"/>
      <sheetName val="Dados_BLP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PERSEDED"/>
      <sheetName val="Sheet3"/>
      <sheetName val="FINALUS$"/>
      <sheetName val="CAPERFORM"/>
      <sheetName val="CAPERFORM $"/>
      <sheetName val="IFO$"/>
      <sheetName val="Sheet1"/>
      <sheetName val="Sheet2"/>
      <sheetName val="FINALPHP"/>
      <sheetName val="Diario"/>
      <sheetName val="CAPERFORM_$"/>
      <sheetName val="CAPERFORM_$1"/>
      <sheetName val="CAPERFORM_$2"/>
      <sheetName val="130-unidades"/>
      <sheetName val="CAPERFORM_$3"/>
      <sheetName val="CAPERFORM_$4"/>
      <sheetName val="CAPERFORM_$5"/>
      <sheetName val="Asfalto"/>
      <sheetName val="calculos"/>
      <sheetName val="INPUTS"/>
      <sheetName val="impuestos trim"/>
      <sheetName val="CAPERFORM_$6"/>
      <sheetName val="impuestos_trim"/>
      <sheetName val="CAPERFORM_$7"/>
      <sheetName val="impuestos_trim1"/>
      <sheetName val="CAPERFORM_$8"/>
      <sheetName val="CAPERFORM_$9"/>
      <sheetName val="CAPERFORM_$10"/>
      <sheetName val="CAPERFORM_$11"/>
      <sheetName val="impuestos_trim2"/>
      <sheetName val="Validation"/>
      <sheetName val="Input"/>
      <sheetName val="impuestos_trim3"/>
      <sheetName val="CAPERFORM_$12"/>
      <sheetName val="impuestos_trim4"/>
      <sheetName val="CAPERFORM_$13"/>
      <sheetName val="impuestos_trim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/>
      <sheetData sheetId="12"/>
      <sheetData sheetId="13" refreshError="1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/>
      <sheetData sheetId="33"/>
      <sheetData sheetId="34"/>
      <sheetData sheetId="35"/>
      <sheetData sheetId="3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 pre"/>
      <sheetName val="DT 1999 (abst. from model)"/>
      <sheetName val="Share Price 2002"/>
      <sheetName val="COMPS"/>
      <sheetName val="Parameters"/>
      <sheetName val="Step2_Histogram"/>
      <sheetName val="Cost Elements to Use"/>
      <sheetName val="Sales Seasonality by Month"/>
      <sheetName val="MODELO"/>
      <sheetName val="Gauge"/>
      <sheetName val="FRA"/>
      <sheetName val="COUPOM"/>
      <sheetName val="Plan1"/>
      <sheetName val="Lists"/>
      <sheetName val="Named_Ranges"/>
      <sheetName val="Custos"/>
      <sheetName val="c3_ fto"/>
      <sheetName val="C3 Base Tran"/>
      <sheetName val="pbg pbgpc "/>
      <sheetName val="pbg1 pbg2 pbg3"/>
      <sheetName val="vab rem"/>
      <sheetName val="ex"/>
      <sheetName val="pre1_4"/>
      <sheetName val="Par"/>
      <sheetName val="WCOL INDEX"/>
      <sheetName val="WCOL INPUT"/>
      <sheetName val="Validate List"/>
      <sheetName val="MK 244"/>
      <sheetName val="Fungicide"/>
      <sheetName val="Others"/>
      <sheetName val="Thiabendazole"/>
      <sheetName val="Financials"/>
      <sheetName val="EI Calc"/>
      <sheetName val="Dados BLP"/>
      <sheetName val="Distribución D"/>
      <sheetName val="Months and Countries"/>
      <sheetName val="IRR"/>
      <sheetName val="Base &amp; LBO Assumptions"/>
      <sheetName val="JAII Income"/>
      <sheetName val="Holding Page"/>
      <sheetName val="JAII Balance"/>
      <sheetName val="Sensitivity Data"/>
      <sheetName val="validation"/>
      <sheetName val="DB2002"/>
      <sheetName val="Sheet3"/>
      <sheetName val="GRALES"/>
      <sheetName val="FX rates"/>
      <sheetName val="SAP Budget by Contain_Loc"/>
      <sheetName val="variable"/>
      <sheetName val="COTAÇÕES"/>
      <sheetName val="Qui"/>
      <sheetName val="Brainstorming1"/>
      <sheetName val="DrillDown"/>
      <sheetName val="FinanceSummary"/>
      <sheetName val="Sheet2"/>
      <sheetName val="Brazil Sovereign"/>
      <sheetName val="Constants"/>
      <sheetName val="NIUs"/>
      <sheetName val="capex"/>
      <sheetName val="Projects list"/>
      <sheetName val="MOL"/>
      <sheetName val="BLP"/>
      <sheetName val="bud99"/>
      <sheetName val="Prod2001"/>
      <sheetName val="Target Book"/>
      <sheetName val="Volumen"/>
      <sheetName val="Données LMU"/>
      <sheetName val="PPM Waterfall"/>
      <sheetName val="dep_pre"/>
      <sheetName val="DT_1999_(abst__from_model)"/>
      <sheetName val="Share_Price_2002"/>
      <sheetName val="Cost_Elements_to_Use"/>
      <sheetName val="c3__fto"/>
      <sheetName val="C3_Base_Tran"/>
      <sheetName val="pbg_pbgpc_"/>
      <sheetName val="pbg1_pbg2_pbg3"/>
      <sheetName val="vab_rem"/>
      <sheetName val="WCOL_INDEX"/>
      <sheetName val="WCOL_INPUT"/>
      <sheetName val="Validate_List"/>
      <sheetName val="Sales_Seasonality_by_Month"/>
      <sheetName val="MK_244"/>
      <sheetName val="Base_&amp;_LBO_Assumptions"/>
      <sheetName val="JAII_Income"/>
      <sheetName val="Holding_Page"/>
      <sheetName val="JAII_Balance"/>
      <sheetName val="Sensitivity_Data"/>
      <sheetName val="EI_Calc"/>
      <sheetName val="Dados_BLP"/>
      <sheetName val="Months_and_Countries"/>
      <sheetName val="Distribución_D"/>
      <sheetName val="FX_rates"/>
      <sheetName val="SAP_Budget_by_Contain_Loc"/>
      <sheetName val="Brazil_Sovereign"/>
      <sheetName val="Projects_list"/>
      <sheetName val="Target_Book"/>
      <sheetName val="Données_LMU"/>
      <sheetName val="PPM_Waterfall"/>
      <sheetName val="Salary Costs drivers"/>
      <sheetName val="NEW-PANEL"/>
      <sheetName val="Ajustes"/>
      <sheetName val="Bloomberg (Aluminio)"/>
      <sheetName val="Bloomberg (Libor)"/>
      <sheetName val="Sheet1"/>
      <sheetName val="list"/>
      <sheetName val="Names"/>
      <sheetName val="ct"/>
      <sheetName val="material data"/>
      <sheetName val="other data"/>
      <sheetName val="aux"/>
      <sheetName val="Summary - LAN"/>
      <sheetName val="ListView"/>
      <sheetName val="data input"/>
      <sheetName val="600ML"/>
      <sheetName val="Tuc"/>
      <sheetName val="Constantes"/>
      <sheetName val="Proced."/>
      <sheetName val="Cover Page"/>
      <sheetName val="User Input"/>
      <sheetName val="Лист2"/>
      <sheetName val="Hoja1"/>
      <sheetName val="Controls"/>
      <sheetName val="Tabelas"/>
      <sheetName val="Daten"/>
      <sheetName val="IS BS actual"/>
      <sheetName val="Pg 1"/>
      <sheetName val="4. NWABC"/>
      <sheetName val="MgnEnero"/>
      <sheetName val="Drop Down"/>
      <sheetName val="drop down list"/>
      <sheetName val="LDE"/>
      <sheetName val="Engine"/>
      <sheetName val="Validate"/>
      <sheetName val="Assumptions"/>
      <sheetName val="MUG"/>
      <sheetName val="Budget Summary"/>
      <sheetName val="RG Depots"/>
      <sheetName val="Quarterly LBO Model"/>
      <sheetName val="BASE BUD Ratios"/>
      <sheetName val="Summary Input"/>
      <sheetName val="Списки"/>
      <sheetName val="dep_pre1"/>
      <sheetName val="DT_1999_(abst__from_model)1"/>
      <sheetName val="Share_Price_20021"/>
      <sheetName val="Cost_Elements_to_Use1"/>
      <sheetName val="Sales_Seasonality_by_Month1"/>
      <sheetName val="c3__fto1"/>
      <sheetName val="C3_Base_Tran1"/>
      <sheetName val="pbg_pbgpc_1"/>
      <sheetName val="pbg1_pbg2_pbg31"/>
      <sheetName val="vab_rem1"/>
      <sheetName val="WCOL_INDEX1"/>
      <sheetName val="WCOL_INPUT1"/>
      <sheetName val="Validate_List1"/>
      <sheetName val="EI_Calc1"/>
      <sheetName val="MK_2441"/>
      <sheetName val="Months_and_Countries1"/>
      <sheetName val="Dados_BLP1"/>
      <sheetName val="Base_&amp;_LBO_Assumptions1"/>
      <sheetName val="JAII_Income1"/>
      <sheetName val="Holding_Page1"/>
      <sheetName val="JAII_Balance1"/>
      <sheetName val="Sensitivity_Data1"/>
      <sheetName val="Distribución_D1"/>
      <sheetName val="FX_rates1"/>
      <sheetName val="SAP_Budget_by_Contain_Loc1"/>
      <sheetName val="Brazil_Sovereign1"/>
      <sheetName val="Projects_list1"/>
      <sheetName val="Target_Book1"/>
      <sheetName val="Données_LMU1"/>
      <sheetName val="PPM_Waterfall1"/>
      <sheetName val="Salary_Costs_drivers"/>
      <sheetName val="material_data"/>
      <sheetName val="other_data"/>
      <sheetName val="Bloomberg_(Aluminio)"/>
      <sheetName val="Bloomberg_(Libor)"/>
      <sheetName val="data_input"/>
      <sheetName val="Summary_-_LAN"/>
      <sheetName val="Proced_"/>
      <sheetName val="IS_BS_actual"/>
      <sheetName val="RG_Depots"/>
      <sheetName val="Quarterly_LBO_Model"/>
      <sheetName val="Cover_Page"/>
      <sheetName val="User_Input"/>
      <sheetName val="Pg_1"/>
      <sheetName val="4__NWABC"/>
      <sheetName val="Drop_Down"/>
      <sheetName val="drop_down_list"/>
      <sheetName val="Budget_Summary"/>
      <sheetName val="BASE_BUD_Ratios"/>
      <sheetName val="Ayuda desplegables"/>
      <sheetName val="Merger"/>
      <sheetName val="DCF"/>
      <sheetName val="Datos"/>
      <sheetName val="Cases"/>
      <sheetName val="Revenues"/>
      <sheetName val="Resumo por P"/>
      <sheetName val="Master"/>
      <sheetName val="Database (RUR)Mar YTD"/>
      <sheetName val="cc"/>
      <sheetName val="packages"/>
      <sheetName val="Macro"/>
      <sheetName val="RLP"/>
      <sheetName val="Argentina"/>
      <sheetName val="AR_Beer"/>
      <sheetName val="AR_SD"/>
      <sheetName val="AR_DGO"/>
      <sheetName val="AR_EComm"/>
      <sheetName val="AR_Agro"/>
      <sheetName val="Uruguay"/>
      <sheetName val="UY_Beer"/>
      <sheetName val="UY_SD"/>
      <sheetName val="UY_DGO"/>
      <sheetName val="Segmentacion"/>
      <sheetName val="Set Up"/>
      <sheetName val="Case"/>
      <sheetName val="SumVal"/>
      <sheetName val="LE - Input"/>
      <sheetName val="VariablesDocumentacionISO"/>
      <sheetName val="Schroder Small Caps"/>
      <sheetName val="x"/>
      <sheetName val="Plan3"/>
      <sheetName val="Completion Instructions"/>
      <sheetName val="Cover"/>
      <sheetName val="Mfg-Curr.Prod. - 14"/>
      <sheetName val="G&amp;A-Controllership - 27"/>
      <sheetName val="G&amp;A-Total - 25"/>
      <sheetName val="Despliegue Legal"/>
      <sheetName val=""/>
      <sheetName val="250CC"/>
      <sheetName val="Mat x categ"/>
      <sheetName val="dep_pre2"/>
      <sheetName val="DT_1999_(abst__from_model)2"/>
      <sheetName val="Share_Price_20022"/>
      <sheetName val="Cost_Elements_to_Use2"/>
      <sheetName val="Sales_Seasonality_by_Month2"/>
      <sheetName val="Months_and_Countries2"/>
      <sheetName val="c3__fto2"/>
      <sheetName val="C3_Base_Tran2"/>
      <sheetName val="pbg_pbgpc_2"/>
      <sheetName val="pbg1_pbg2_pbg32"/>
      <sheetName val="vab_rem2"/>
      <sheetName val="WCOL_INDEX2"/>
      <sheetName val="WCOL_INPUT2"/>
      <sheetName val="Validate_List2"/>
      <sheetName val="Dados_BLP2"/>
      <sheetName val="EI_Calc2"/>
      <sheetName val="MK_2442"/>
      <sheetName val="Base_&amp;_LBO_Assumptions2"/>
      <sheetName val="JAII_Income2"/>
      <sheetName val="Holding_Page2"/>
      <sheetName val="JAII_Balance2"/>
      <sheetName val="Sensitivity_Data2"/>
      <sheetName val="Distribución_D2"/>
      <sheetName val="FX_rates2"/>
      <sheetName val="Brazil_Sovereign2"/>
      <sheetName val="Projects_list2"/>
      <sheetName val="SAP_Budget_by_Contain_Loc2"/>
      <sheetName val="Target_Book2"/>
      <sheetName val="Données_LMU2"/>
      <sheetName val="PPM_Waterfall2"/>
      <sheetName val="Salary_Costs_drivers1"/>
      <sheetName val="material_data1"/>
      <sheetName val="other_data1"/>
      <sheetName val="Bloomberg_(Aluminio)1"/>
      <sheetName val="Bloomberg_(Libor)1"/>
      <sheetName val="Proced_1"/>
      <sheetName val="Summary_-_LAN1"/>
      <sheetName val="data_input1"/>
      <sheetName val="IS_BS_actual1"/>
      <sheetName val="BASE_BUD_Ratios1"/>
      <sheetName val="Cover_Page1"/>
      <sheetName val="User_Input1"/>
      <sheetName val="Budget_Summary1"/>
      <sheetName val="Pg_11"/>
      <sheetName val="4__NWABC1"/>
      <sheetName val="Drop_Down1"/>
      <sheetName val="drop_down_list1"/>
      <sheetName val="Ayuda_desplegables"/>
      <sheetName val="RG_Depots1"/>
      <sheetName val="Quarterly_LBO_Model1"/>
      <sheetName val="Summary_Input"/>
      <sheetName val="Resumo_por_P"/>
      <sheetName val="Database_(RUR)Mar_YTD"/>
      <sheetName val="Set_Up"/>
      <sheetName val="LE_-_Input"/>
      <sheetName val="Schroder_Small_Caps"/>
      <sheetName val="Help"/>
      <sheetName val="CCTO_COUNTRY"/>
      <sheetName val="GCOA_SUBP"/>
      <sheetName val="Input"/>
      <sheetName val="Selection Lists"/>
      <sheetName val="Mat_x_categ"/>
      <sheetName val="CUENTAS SAP"/>
      <sheetName val="Sales Package Input"/>
      <sheetName val="dep_pre3"/>
      <sheetName val="c3__fto3"/>
      <sheetName val="C3_Base_Tran3"/>
      <sheetName val="pbg_pbgpc_3"/>
      <sheetName val="pbg1_pbg2_pbg33"/>
      <sheetName val="vab_rem3"/>
      <sheetName val="WCOL_INDEX3"/>
      <sheetName val="WCOL_INPUT3"/>
      <sheetName val="Validate_List3"/>
      <sheetName val="Share_Price_20023"/>
      <sheetName val="DT_1999_(abst__from_model)3"/>
      <sheetName val="Cost_Elements_to_Use3"/>
      <sheetName val="MK_2443"/>
      <sheetName val="Base_&amp;_LBO_Assumptions3"/>
      <sheetName val="JAII_Income3"/>
      <sheetName val="Holding_Page3"/>
      <sheetName val="JAII_Balance3"/>
      <sheetName val="Sensitivity_Data3"/>
      <sheetName val="Sales_Seasonality_by_Month3"/>
      <sheetName val="EI_Calc3"/>
      <sheetName val="Dados_BLP3"/>
      <sheetName val="Months_and_Countries3"/>
      <sheetName val="Distribución_D3"/>
      <sheetName val="FX_rates3"/>
      <sheetName val="Projects_list3"/>
      <sheetName val="Target_Book3"/>
      <sheetName val="Données_LMU3"/>
      <sheetName val="SAP_Budget_by_Contain_Loc3"/>
      <sheetName val="Brazil_Sovereign3"/>
      <sheetName val="PPM_Waterfall3"/>
      <sheetName val="Salary_Costs_drivers2"/>
      <sheetName val="data_input2"/>
      <sheetName val="material_data2"/>
      <sheetName val="other_data2"/>
      <sheetName val="Summary_-_LAN2"/>
      <sheetName val="Bloomberg_(Aluminio)2"/>
      <sheetName val="Bloomberg_(Libor)2"/>
      <sheetName val="IS_BS_actual2"/>
      <sheetName val="Proced_2"/>
      <sheetName val="Budget_Summary2"/>
      <sheetName val="Pg_12"/>
      <sheetName val="4__NWABC2"/>
      <sheetName val="Drop_Down2"/>
      <sheetName val="drop_down_list2"/>
      <sheetName val="Cover_Page2"/>
      <sheetName val="User_Input2"/>
      <sheetName val="RG_Depots2"/>
      <sheetName val="Quarterly_LBO_Model2"/>
      <sheetName val="BASE_BUD_Ratios2"/>
      <sheetName val="Ayuda_desplegables1"/>
      <sheetName val="Summary_Input1"/>
      <sheetName val="Set_Up1"/>
      <sheetName val="LE_-_Input1"/>
      <sheetName val="Database_(RUR)Mar_YTD1"/>
      <sheetName val="Resumo_por_P1"/>
      <sheetName val="Mat_x_categ1"/>
      <sheetName val="CAD"/>
      <sheetName val="Subs_2141"/>
      <sheetName val="Parámetros"/>
      <sheetName val="Risk"/>
      <sheetName val="Explanations"/>
      <sheetName val="GEO"/>
      <sheetName val="tab prod"/>
      <sheetName val="IPLs"/>
      <sheetName val="Load Data"/>
      <sheetName val="Cognos"/>
      <sheetName val="análise"/>
      <sheetName val="Data"/>
      <sheetName val="Sales &amp; MKT Cost "/>
      <sheetName val="Sales &amp; MKT Cost AC"/>
      <sheetName val="OHC+OP+CCC"/>
      <sheetName val="OHC+OP+CCC AC"/>
      <sheetName val="Tabla1"/>
      <sheetName val="Maco AC"/>
      <sheetName val="MacoBU"/>
      <sheetName val="BS Flows"/>
      <sheetName val="Masterdata"/>
      <sheetName val="POA"/>
      <sheetName val="Feriados"/>
      <sheetName val="Summ"/>
      <sheetName val="dep_pre4"/>
      <sheetName val="DT_1999_(abst__from_model)4"/>
      <sheetName val="Share_Price_20024"/>
      <sheetName val="Cost_Elements_to_Use4"/>
      <sheetName val="Sales_Seasonality_by_Month4"/>
      <sheetName val="c3__fto4"/>
      <sheetName val="C3_Base_Tran4"/>
      <sheetName val="pbg_pbgpc_4"/>
      <sheetName val="pbg1_pbg2_pbg34"/>
      <sheetName val="vab_rem4"/>
      <sheetName val="WCOL_INDEX4"/>
      <sheetName val="WCOL_INPUT4"/>
      <sheetName val="Validate_List4"/>
      <sheetName val="MK_2444"/>
      <sheetName val="Months_and_Countries4"/>
      <sheetName val="EI_Calc4"/>
      <sheetName val="Dados_BLP4"/>
      <sheetName val="Distribución_D4"/>
      <sheetName val="Base_&amp;_LBO_Assumptions4"/>
      <sheetName val="JAII_Income4"/>
      <sheetName val="Holding_Page4"/>
      <sheetName val="JAII_Balance4"/>
      <sheetName val="Sensitivity_Data4"/>
      <sheetName val="FX_rates4"/>
      <sheetName val="SAP_Budget_by_Contain_Loc4"/>
      <sheetName val="Brazil_Sovereign4"/>
      <sheetName val="Projects_list4"/>
      <sheetName val="Target_Book4"/>
      <sheetName val="Données_LMU4"/>
      <sheetName val="PPM_Waterfall4"/>
      <sheetName val="Salary_Costs_drivers3"/>
      <sheetName val="material_data3"/>
      <sheetName val="other_data3"/>
      <sheetName val="Summary_-_LAN3"/>
      <sheetName val="Bloomberg_(Aluminio)3"/>
      <sheetName val="Bloomberg_(Libor)3"/>
      <sheetName val="data_input3"/>
      <sheetName val="Proced_3"/>
      <sheetName val="IS_BS_actual3"/>
      <sheetName val="RG_Depots3"/>
      <sheetName val="Quarterly_LBO_Model3"/>
      <sheetName val="Cover_Page3"/>
      <sheetName val="User_Input3"/>
      <sheetName val="Pg_13"/>
      <sheetName val="4__NWABC3"/>
      <sheetName val="Drop_Down3"/>
      <sheetName val="drop_down_list3"/>
      <sheetName val="Budget_Summary3"/>
      <sheetName val="BASE_BUD_Ratios3"/>
      <sheetName val="Summary_Input2"/>
      <sheetName val="Ayuda_desplegables2"/>
      <sheetName val="Resumo_por_P2"/>
      <sheetName val="Set_Up2"/>
      <sheetName val="Database_(RUR)Mar_YTD2"/>
      <sheetName val="LE_-_Input2"/>
      <sheetName val="Schroder_Small_Caps1"/>
      <sheetName val="Completion_Instructions"/>
      <sheetName val="Mfg-Curr_Prod__-_14"/>
      <sheetName val="G&amp;A-Controllership_-_27"/>
      <sheetName val="G&amp;A-Total_-_25"/>
      <sheetName val="Despliegue_Legal"/>
      <sheetName val="Mat_x_categ2"/>
      <sheetName val="Selection_Lists"/>
      <sheetName val="Sales_Package_Input"/>
      <sheetName val="CUENTAS_SAP"/>
      <sheetName val="tab_prod"/>
      <sheetName val="Load_Data"/>
      <sheetName val="Sales_&amp;_MKT_Cost_"/>
      <sheetName val="Sales_&amp;_MKT_Cost_AC"/>
      <sheetName val="OHC+OP+CCC_AC"/>
      <sheetName val="Maco_AC"/>
      <sheetName val="BS_Flows"/>
      <sheetName val="dep_pre5"/>
      <sheetName val="DT_1999_(abst__from_model)5"/>
      <sheetName val="Share_Price_20025"/>
      <sheetName val="Cost_Elements_to_Use5"/>
      <sheetName val="Sales_Seasonality_by_Month5"/>
      <sheetName val="c3__fto5"/>
      <sheetName val="C3_Base_Tran5"/>
      <sheetName val="pbg_pbgpc_5"/>
      <sheetName val="pbg1_pbg2_pbg35"/>
      <sheetName val="vab_rem5"/>
      <sheetName val="WCOL_INDEX5"/>
      <sheetName val="WCOL_INPUT5"/>
      <sheetName val="Validate_List5"/>
      <sheetName val="MK_2445"/>
      <sheetName val="EI_Calc5"/>
      <sheetName val="Dados_BLP5"/>
      <sheetName val="Distribución_D5"/>
      <sheetName val="Months_and_Countries5"/>
      <sheetName val="Base_&amp;_LBO_Assumptions5"/>
      <sheetName val="JAII_Income5"/>
      <sheetName val="Holding_Page5"/>
      <sheetName val="JAII_Balance5"/>
      <sheetName val="Sensitivity_Data5"/>
      <sheetName val="FX_rates5"/>
      <sheetName val="SAP_Budget_by_Contain_Loc5"/>
      <sheetName val="Brazil_Sovereign5"/>
      <sheetName val="Projects_list5"/>
      <sheetName val="Target_Book5"/>
      <sheetName val="Données_LMU5"/>
      <sheetName val="PPM_Waterfall5"/>
      <sheetName val="Salary_Costs_drivers4"/>
      <sheetName val="Bloomberg_(Aluminio)4"/>
      <sheetName val="Bloomberg_(Libor)4"/>
      <sheetName val="material_data4"/>
      <sheetName val="other_data4"/>
      <sheetName val="Summary_-_LAN4"/>
      <sheetName val="data_input4"/>
      <sheetName val="Proced_4"/>
      <sheetName val="Cover_Page4"/>
      <sheetName val="User_Input4"/>
      <sheetName val="IS_BS_actual4"/>
      <sheetName val="Pg_14"/>
      <sheetName val="4__NWABC4"/>
      <sheetName val="Drop_Down4"/>
      <sheetName val="drop_down_list4"/>
      <sheetName val="Budget_Summary4"/>
      <sheetName val="RG_Depots4"/>
      <sheetName val="Quarterly_LBO_Model4"/>
      <sheetName val="BASE_BUD_Ratios4"/>
      <sheetName val="Summary_Input3"/>
      <sheetName val="Ayuda_desplegables3"/>
      <sheetName val="Resumo_por_P3"/>
      <sheetName val="Database_(RUR)Mar_YTD3"/>
      <sheetName val="Set_Up3"/>
      <sheetName val="LE_-_Input3"/>
      <sheetName val="Schroder_Small_Caps2"/>
      <sheetName val="Completion_Instructions1"/>
      <sheetName val="Mfg-Curr_Prod__-_141"/>
      <sheetName val="G&amp;A-Controllership_-_271"/>
      <sheetName val="G&amp;A-Total_-_251"/>
      <sheetName val="Despliegue_Legal1"/>
      <sheetName val="Mat_x_categ3"/>
      <sheetName val="Selection_Lists1"/>
      <sheetName val="CUENTAS_SAP1"/>
      <sheetName val="Sales_Package_Input1"/>
      <sheetName val="tab_prod1"/>
      <sheetName val="Load_Data1"/>
      <sheetName val="Sales_&amp;_MKT_Cost_1"/>
      <sheetName val="Sales_&amp;_MKT_Cost_AC1"/>
      <sheetName val="OHC+OP+CCC_AC1"/>
      <sheetName val="Maco_AC1"/>
      <sheetName val="BS_Flows1"/>
      <sheetName val="dep_pre6"/>
      <sheetName val="DT_1999_(abst__from_model)6"/>
      <sheetName val="Share_Price_20026"/>
      <sheetName val="Cost_Elements_to_Use6"/>
      <sheetName val="Sales_Seasonality_by_Month6"/>
      <sheetName val="c3__fto6"/>
      <sheetName val="C3_Base_Tran6"/>
      <sheetName val="pbg_pbgpc_6"/>
      <sheetName val="pbg1_pbg2_pbg36"/>
      <sheetName val="vab_rem6"/>
      <sheetName val="WCOL_INDEX6"/>
      <sheetName val="WCOL_INPUT6"/>
      <sheetName val="Validate_List6"/>
      <sheetName val="MK_2446"/>
      <sheetName val="EI_Calc6"/>
      <sheetName val="Dados_BLP6"/>
      <sheetName val="Distribución_D6"/>
      <sheetName val="Months_and_Countries6"/>
      <sheetName val="Base_&amp;_LBO_Assumptions6"/>
      <sheetName val="JAII_Income6"/>
      <sheetName val="Holding_Page6"/>
      <sheetName val="JAII_Balance6"/>
      <sheetName val="Sensitivity_Data6"/>
      <sheetName val="FX_rates6"/>
      <sheetName val="SAP_Budget_by_Contain_Loc6"/>
      <sheetName val="Brazil_Sovereign6"/>
      <sheetName val="Projects_list6"/>
      <sheetName val="Target_Book6"/>
      <sheetName val="Données_LMU6"/>
      <sheetName val="PPM_Waterfall6"/>
      <sheetName val="Salary_Costs_drivers5"/>
      <sheetName val="Bloomberg_(Aluminio)5"/>
      <sheetName val="Bloomberg_(Libor)5"/>
      <sheetName val="material_data5"/>
      <sheetName val="other_data5"/>
      <sheetName val="Summary_-_LAN5"/>
      <sheetName val="data_input5"/>
      <sheetName val="Proced_5"/>
      <sheetName val="Cover_Page5"/>
      <sheetName val="User_Input5"/>
      <sheetName val="IS_BS_actual5"/>
      <sheetName val="Pg_15"/>
      <sheetName val="4__NWABC5"/>
      <sheetName val="Drop_Down5"/>
      <sheetName val="drop_down_list5"/>
      <sheetName val="Budget_Summary5"/>
      <sheetName val="RG_Depots5"/>
      <sheetName val="Quarterly_LBO_Model5"/>
      <sheetName val="BASE_BUD_Ratios5"/>
      <sheetName val="Summary_Input4"/>
      <sheetName val="Ayuda_desplegables4"/>
      <sheetName val="Resumo_por_P4"/>
      <sheetName val="Database_(RUR)Mar_YTD4"/>
      <sheetName val="Set_Up4"/>
      <sheetName val="LE_-_Input4"/>
      <sheetName val="Schroder_Small_Caps3"/>
      <sheetName val="Completion_Instructions2"/>
      <sheetName val="Mfg-Curr_Prod__-_142"/>
      <sheetName val="G&amp;A-Controllership_-_272"/>
      <sheetName val="G&amp;A-Total_-_252"/>
      <sheetName val="Despliegue_Legal2"/>
      <sheetName val="Mat_x_categ4"/>
      <sheetName val="Selection_Lists2"/>
      <sheetName val="CUENTAS_SAP2"/>
      <sheetName val="Sales_Package_Input2"/>
      <sheetName val="tab_prod2"/>
      <sheetName val="Load_Data2"/>
      <sheetName val="Sales_&amp;_MKT_Cost_2"/>
      <sheetName val="Sales_&amp;_MKT_Cost_AC2"/>
      <sheetName val="OHC+OP+CCC_AC2"/>
      <sheetName val="Maco_AC2"/>
      <sheetName val="BS_Flows2"/>
      <sheetName val="ConversionNames"/>
      <sheetName val="CURRENCY"/>
      <sheetName val="GCOA"/>
      <sheetName val="UNIDADES"/>
      <sheetName val="EXPL.AGUA"/>
      <sheetName val="Entities"/>
      <sheetName val="FINALPHP"/>
      <sheetName val="Validacion #1"/>
      <sheetName val="Listas"/>
      <sheetName val="GASTO-01"/>
      <sheetName val="synthgraph"/>
      <sheetName val="Overview"/>
      <sheetName val="Config"/>
      <sheetName val="Producción"/>
      <sheetName val="Dados gefab"/>
      <sheetName val="Dados_Energia"/>
      <sheetName val="Gráficos volúmen"/>
      <sheetName val="dep_pre7"/>
      <sheetName val="DT_1999_(abst__from_model)7"/>
      <sheetName val="Share_Price_20027"/>
      <sheetName val="Cost_Elements_to_Use7"/>
      <sheetName val="Sales_Seasonality_by_Month7"/>
      <sheetName val="c3__fto7"/>
      <sheetName val="C3_Base_Tran7"/>
      <sheetName val="pbg_pbgpc_7"/>
      <sheetName val="pbg1_pbg2_pbg37"/>
      <sheetName val="vab_rem7"/>
      <sheetName val="WCOL_INDEX7"/>
      <sheetName val="WCOL_INPUT7"/>
      <sheetName val="Validate_List7"/>
      <sheetName val="MK_2447"/>
      <sheetName val="EI_Calc7"/>
      <sheetName val="Dados_BLP7"/>
      <sheetName val="Distribución_D7"/>
      <sheetName val="Months_and_Countries7"/>
      <sheetName val="Base_&amp;_LBO_Assumptions7"/>
      <sheetName val="JAII_Income7"/>
      <sheetName val="Holding_Page7"/>
      <sheetName val="JAII_Balance7"/>
      <sheetName val="Sensitivity_Data7"/>
      <sheetName val="FX_rates7"/>
      <sheetName val="SAP_Budget_by_Contain_Loc7"/>
      <sheetName val="Brazil_Sovereign7"/>
      <sheetName val="Projects_list7"/>
      <sheetName val="Target_Book7"/>
      <sheetName val="Données_LMU7"/>
      <sheetName val="PPM_Waterfall7"/>
      <sheetName val="Salary_Costs_drivers6"/>
      <sheetName val="Bloomberg_(Aluminio)6"/>
      <sheetName val="Bloomberg_(Libor)6"/>
      <sheetName val="material_data6"/>
      <sheetName val="other_data6"/>
      <sheetName val="Summary_-_LAN6"/>
      <sheetName val="data_input6"/>
      <sheetName val="Proced_6"/>
      <sheetName val="Cover_Page6"/>
      <sheetName val="User_Input6"/>
      <sheetName val="IS_BS_actual6"/>
      <sheetName val="Pg_16"/>
      <sheetName val="4__NWABC6"/>
      <sheetName val="Drop_Down6"/>
      <sheetName val="drop_down_list6"/>
      <sheetName val="Budget_Summary6"/>
      <sheetName val="RG_Depots6"/>
      <sheetName val="Quarterly_LBO_Model6"/>
      <sheetName val="BASE_BUD_Ratios6"/>
      <sheetName val="Summary_Input5"/>
      <sheetName val="Ayuda_desplegables5"/>
      <sheetName val="Resumo_por_P5"/>
      <sheetName val="Database_(RUR)Mar_YTD5"/>
      <sheetName val="Set_Up5"/>
      <sheetName val="LE_-_Input5"/>
      <sheetName val="Schroder_Small_Caps4"/>
      <sheetName val="Completion_Instructions3"/>
      <sheetName val="Mfg-Curr_Prod__-_143"/>
      <sheetName val="G&amp;A-Controllership_-_273"/>
      <sheetName val="G&amp;A-Total_-_253"/>
      <sheetName val="Despliegue_Legal3"/>
      <sheetName val="Mat_x_categ5"/>
      <sheetName val="Selection_Lists3"/>
      <sheetName val="CUENTAS_SAP3"/>
      <sheetName val="Sales_Package_Input3"/>
      <sheetName val="tab_prod3"/>
      <sheetName val="Load_Data3"/>
      <sheetName val="Sales_&amp;_MKT_Cost_3"/>
      <sheetName val="Sales_&amp;_MKT_Cost_AC3"/>
      <sheetName val="OHC+OP+CCC_AC3"/>
      <sheetName val="Maco_AC3"/>
      <sheetName val="BS_Flows3"/>
      <sheetName val="EXPL_AGUA"/>
      <sheetName val="Validacion_#1"/>
      <sheetName val="Dados_gefab"/>
      <sheetName val="Gráficos_volúmen"/>
      <sheetName val="dep_pre8"/>
      <sheetName val="DT_1999_(abst__from_model)8"/>
      <sheetName val="Share_Price_20028"/>
      <sheetName val="Cost_Elements_to_Use8"/>
      <sheetName val="Sales_Seasonality_by_Month8"/>
      <sheetName val="c3__fto8"/>
      <sheetName val="C3_Base_Tran8"/>
      <sheetName val="pbg_pbgpc_8"/>
      <sheetName val="pbg1_pbg2_pbg38"/>
      <sheetName val="vab_rem8"/>
      <sheetName val="WCOL_INDEX8"/>
      <sheetName val="WCOL_INPUT8"/>
      <sheetName val="Validate_List8"/>
      <sheetName val="MK_2448"/>
      <sheetName val="EI_Calc8"/>
      <sheetName val="Dados_BLP8"/>
      <sheetName val="Distribución_D8"/>
      <sheetName val="Months_and_Countries8"/>
      <sheetName val="Base_&amp;_LBO_Assumptions8"/>
      <sheetName val="JAII_Income8"/>
      <sheetName val="Holding_Page8"/>
      <sheetName val="JAII_Balance8"/>
      <sheetName val="Sensitivity_Data8"/>
      <sheetName val="FX_rates8"/>
      <sheetName val="SAP_Budget_by_Contain_Loc8"/>
      <sheetName val="Brazil_Sovereign8"/>
      <sheetName val="Projects_list8"/>
      <sheetName val="Target_Book8"/>
      <sheetName val="Données_LMU8"/>
      <sheetName val="PPM_Waterfall8"/>
      <sheetName val="Salary_Costs_drivers7"/>
      <sheetName val="Bloomberg_(Aluminio)7"/>
      <sheetName val="Bloomberg_(Libor)7"/>
      <sheetName val="material_data7"/>
      <sheetName val="other_data7"/>
      <sheetName val="Summary_-_LAN7"/>
      <sheetName val="data_input7"/>
      <sheetName val="Proced_7"/>
      <sheetName val="Cover_Page7"/>
      <sheetName val="User_Input7"/>
      <sheetName val="IS_BS_actual7"/>
      <sheetName val="Pg_17"/>
      <sheetName val="4__NWABC7"/>
      <sheetName val="Drop_Down7"/>
      <sheetName val="drop_down_list7"/>
      <sheetName val="Budget_Summary7"/>
      <sheetName val="RG_Depots7"/>
      <sheetName val="Quarterly_LBO_Model7"/>
      <sheetName val="BASE_BUD_Ratios7"/>
      <sheetName val="Summary_Input6"/>
      <sheetName val="Ayuda_desplegables6"/>
      <sheetName val="Resumo_por_P6"/>
      <sheetName val="Database_(RUR)Mar_YTD6"/>
      <sheetName val="Set_Up6"/>
      <sheetName val="LE_-_Input6"/>
      <sheetName val="Schroder_Small_Caps5"/>
      <sheetName val="Completion_Instructions4"/>
      <sheetName val="Mfg-Curr_Prod__-_144"/>
      <sheetName val="G&amp;A-Controllership_-_274"/>
      <sheetName val="G&amp;A-Total_-_254"/>
      <sheetName val="Despliegue_Legal4"/>
      <sheetName val="Mat_x_categ6"/>
      <sheetName val="Selection_Lists4"/>
      <sheetName val="CUENTAS_SAP4"/>
      <sheetName val="Sales_Package_Input4"/>
      <sheetName val="tab_prod4"/>
      <sheetName val="Load_Data4"/>
      <sheetName val="Sales_&amp;_MKT_Cost_4"/>
      <sheetName val="Sales_&amp;_MKT_Cost_AC4"/>
      <sheetName val="OHC+OP+CCC_AC4"/>
      <sheetName val="Maco_AC4"/>
      <sheetName val="BS_Flows4"/>
      <sheetName val="EXPL_AGUA1"/>
      <sheetName val="Validacion_#11"/>
      <sheetName val="Dados_gefab1"/>
      <sheetName val="Gráficos_volúmen1"/>
      <sheetName val="Resumen"/>
      <sheetName val="UNG"/>
      <sheetName val="TOC"/>
      <sheetName val="EU Comps"/>
      <sheetName val="Combined Financials"/>
      <sheetName val="FF"/>
      <sheetName val="Combined_Financials"/>
      <sheetName val="Combined_Financials1"/>
      <sheetName val="Scoring - Do not update"/>
      <sheetName val="dep_pre9"/>
      <sheetName val="DT_1999_(abst__from_model)9"/>
      <sheetName val="Share_Price_20029"/>
      <sheetName val="Cost_Elements_to_Use9"/>
      <sheetName val="Sales_Seasonality_by_Month9"/>
      <sheetName val="Months_and_Countries9"/>
      <sheetName val="c3__fto9"/>
      <sheetName val="C3_Base_Tran9"/>
      <sheetName val="pbg_pbgpc_9"/>
      <sheetName val="pbg1_pbg2_pbg39"/>
      <sheetName val="vab_rem9"/>
      <sheetName val="WCOL_INDEX9"/>
      <sheetName val="WCOL_INPUT9"/>
      <sheetName val="Validate_List9"/>
      <sheetName val="EI_Calc9"/>
      <sheetName val="Dados_BLP9"/>
      <sheetName val="MK_2449"/>
      <sheetName val="Base_&amp;_LBO_Assumptions9"/>
      <sheetName val="JAII_Income9"/>
      <sheetName val="Holding_Page9"/>
      <sheetName val="JAII_Balance9"/>
      <sheetName val="Sensitivity_Data9"/>
      <sheetName val="Distribución_D9"/>
      <sheetName val="FX_rates9"/>
      <sheetName val="SAP_Budget_by_Contain_Loc9"/>
      <sheetName val="Brazil_Sovereign9"/>
      <sheetName val="Projects_list9"/>
      <sheetName val="Target_Book9"/>
      <sheetName val="Données_LMU9"/>
      <sheetName val="PPM_Waterfall9"/>
      <sheetName val="Salary_Costs_drivers8"/>
      <sheetName val="material_data8"/>
      <sheetName val="other_data8"/>
      <sheetName val="Bloomberg_(Aluminio)8"/>
      <sheetName val="Bloomberg_(Libor)8"/>
      <sheetName val="data_input8"/>
      <sheetName val="Summary_-_LAN8"/>
      <sheetName val="Proced_8"/>
      <sheetName val="Cover_Page8"/>
      <sheetName val="User_Input8"/>
      <sheetName val="IS_BS_actual8"/>
      <sheetName val="Pg_18"/>
      <sheetName val="4__NWABC8"/>
      <sheetName val="Drop_Down8"/>
      <sheetName val="drop_down_list8"/>
      <sheetName val="Budget_Summary8"/>
      <sheetName val="RG_Depots8"/>
      <sheetName val="Quarterly_LBO_Model8"/>
      <sheetName val="BASE_BUD_Ratios8"/>
      <sheetName val="Summary_Input7"/>
      <sheetName val="Ayuda_desplegables7"/>
      <sheetName val="Database_(RUR)Mar_YTD7"/>
      <sheetName val="Resumo_por_P7"/>
      <sheetName val="Set_Up7"/>
      <sheetName val="LE_-_Input7"/>
      <sheetName val="Schroder_Small_Caps6"/>
      <sheetName val="Completion_Instructions5"/>
      <sheetName val="Mfg-Curr_Prod__-_145"/>
      <sheetName val="G&amp;A-Controllership_-_275"/>
      <sheetName val="G&amp;A-Total_-_255"/>
      <sheetName val="Despliegue_Legal5"/>
      <sheetName val="Mat_x_categ7"/>
      <sheetName val="Selection_Lists5"/>
      <sheetName val="Sales_Package_Input5"/>
      <sheetName val="tab_prod5"/>
      <sheetName val="CUENTAS_SAP5"/>
      <sheetName val="Load_Data5"/>
      <sheetName val="BS_Flows5"/>
      <sheetName val="Sales_&amp;_MKT_Cost_5"/>
      <sheetName val="Sales_&amp;_MKT_Cost_AC5"/>
      <sheetName val="OHC+OP+CCC_AC5"/>
      <sheetName val="Maco_AC5"/>
      <sheetName val="EXPL_AGUA2"/>
      <sheetName val="Validacion_#12"/>
      <sheetName val="Dados_gefab2"/>
      <sheetName val="Gráficos_volúmen2"/>
      <sheetName val="EU_Comps"/>
      <sheetName val="Combined_Financials2"/>
      <sheetName val="Scoring_-_Do_not_update"/>
      <sheetName val="KF6"/>
      <sheetName val="Tablas"/>
      <sheetName val="SCHEDULE 3 98"/>
      <sheetName val="Quantity"/>
      <sheetName val="Total"/>
      <sheetName val="Asfalto"/>
      <sheetName val="Validacion_#13"/>
      <sheetName val="Combined_Financials3"/>
      <sheetName val="Scoring_-_Do_not_update1"/>
      <sheetName val="SCHEDULE_3_98"/>
      <sheetName val="Setting"/>
      <sheetName val="SCHEDULE_3_981"/>
      <sheetName val=" "/>
      <sheetName val="drop-down_lists"/>
      <sheetName val="Forecast"/>
      <sheetName val="Setup"/>
      <sheetName val="MD"/>
      <sheetName val="BIBLE"/>
      <sheetName val="Validacion_#14"/>
      <sheetName val="Combined_Financials4"/>
      <sheetName val="Scoring_-_Do_not_update2"/>
      <sheetName val="Validacion_#15"/>
      <sheetName val="Combined_Financials5"/>
      <sheetName val="Scoring_-_Do_not_update3"/>
      <sheetName val="SCHEDULE_3_982"/>
      <sheetName val="4"/>
      <sheetName val="dep_pre10"/>
      <sheetName val="c3__fto10"/>
      <sheetName val="C3_Base_Tran10"/>
      <sheetName val="pbg_pbgpc_10"/>
      <sheetName val="pbg1_pbg2_pbg310"/>
      <sheetName val="vab_rem10"/>
      <sheetName val="WCOL_INDEX10"/>
      <sheetName val="WCOL_INPUT10"/>
      <sheetName val="MK_24410"/>
      <sheetName val="Validate_List10"/>
      <sheetName val="Share_Price_200210"/>
      <sheetName val="DT_1999_(abst__from_model)10"/>
      <sheetName val="Cost_Elements_to_Use10"/>
      <sheetName val="Base_&amp;_LBO_Assumptions10"/>
      <sheetName val="JAII_Income10"/>
      <sheetName val="Holding_Page10"/>
      <sheetName val="JAII_Balance10"/>
      <sheetName val="Sensitivity_Data10"/>
      <sheetName val="Sales_Seasonality_by_Month10"/>
      <sheetName val="EI_Calc10"/>
      <sheetName val="Dados_BLP10"/>
      <sheetName val="Months_and_Countries10"/>
      <sheetName val="Distribución_D10"/>
      <sheetName val="FX_rates10"/>
      <sheetName val="SAP_Budget_by_Contain_Loc10"/>
      <sheetName val="Projects_list10"/>
      <sheetName val="Target_Book10"/>
      <sheetName val="Données_LMU10"/>
      <sheetName val="Brazil_Sovereign10"/>
      <sheetName val="PPM_Waterfall10"/>
      <sheetName val="Salary_Costs_drivers9"/>
      <sheetName val="data_input9"/>
      <sheetName val="material_data9"/>
      <sheetName val="other_data9"/>
      <sheetName val="Proced_9"/>
      <sheetName val="Bloomberg_(Aluminio)9"/>
      <sheetName val="Bloomberg_(Libor)9"/>
      <sheetName val="Summary_-_LAN9"/>
      <sheetName val="Budget_Summary9"/>
      <sheetName val="IS_BS_actual9"/>
      <sheetName val="Pg_19"/>
      <sheetName val="4__NWABC9"/>
      <sheetName val="Drop_Down9"/>
      <sheetName val="drop_down_list9"/>
      <sheetName val="Cover_Page9"/>
      <sheetName val="User_Input9"/>
      <sheetName val="RG_Depots9"/>
      <sheetName val="Quarterly_LBO_Model9"/>
      <sheetName val="BASE_BUD_Ratios9"/>
      <sheetName val="Ayuda_desplegables8"/>
      <sheetName val="Summary_Input8"/>
      <sheetName val="Set_Up8"/>
      <sheetName val="LE_-_Input8"/>
      <sheetName val="Resumo_por_P8"/>
      <sheetName val="Database_(RUR)Mar_YTD8"/>
      <sheetName val="Mat_x_categ8"/>
      <sheetName val="Schroder_Small_Caps7"/>
      <sheetName val="Mfg-Curr_Prod__-_146"/>
      <sheetName val="G&amp;A-Controllership_-_276"/>
      <sheetName val="G&amp;A-Total_-_256"/>
      <sheetName val="Despliegue_Legal6"/>
      <sheetName val="Completion_Instructions6"/>
      <sheetName val="Selection_Lists6"/>
      <sheetName val="Sales_Package_Input6"/>
      <sheetName val="Load_Data6"/>
      <sheetName val="CUENTAS_SAP6"/>
      <sheetName val="tab_prod6"/>
      <sheetName val="Sales_&amp;_MKT_Cost_6"/>
      <sheetName val="Sales_&amp;_MKT_Cost_AC6"/>
      <sheetName val="OHC+OP+CCC_AC6"/>
      <sheetName val="Maco_AC6"/>
      <sheetName val="Validacion_#16"/>
      <sheetName val="Combined_Financials6"/>
      <sheetName val="Scoring_-_Do_not_update4"/>
      <sheetName val="BS_Flows6"/>
      <sheetName val="SCHEDULE_3_983"/>
      <sheetName val="EXPL_AGUA3"/>
      <sheetName val="EU_Comps1"/>
      <sheetName val="Gen-2"/>
      <sheetName val="Dados_gefab3"/>
      <sheetName val="Gráficos_volúmen3"/>
      <sheetName val="dep_pre11"/>
      <sheetName val="DT_1999_(abst__from_model)11"/>
      <sheetName val="Share_Price_200211"/>
      <sheetName val="Cost_Elements_to_Use11"/>
      <sheetName val="Sales_Seasonality_by_Month11"/>
      <sheetName val="c3__fto11"/>
      <sheetName val="C3_Base_Tran11"/>
      <sheetName val="pbg_pbgpc_11"/>
      <sheetName val="pbg1_pbg2_pbg311"/>
      <sheetName val="vab_rem11"/>
      <sheetName val="WCOL_INDEX11"/>
      <sheetName val="WCOL_INPUT11"/>
      <sheetName val="Validate_List11"/>
      <sheetName val="MK_24411"/>
      <sheetName val="EI_Calc11"/>
      <sheetName val="Dados_BLP11"/>
      <sheetName val="Distribución_D11"/>
      <sheetName val="Months_and_Countries11"/>
      <sheetName val="Base_&amp;_LBO_Assumptions11"/>
      <sheetName val="JAII_Income11"/>
      <sheetName val="Holding_Page11"/>
      <sheetName val="JAII_Balance11"/>
      <sheetName val="Sensitivity_Data11"/>
      <sheetName val="FX_rates11"/>
      <sheetName val="SAP_Budget_by_Contain_Loc11"/>
      <sheetName val="Brazil_Sovereign11"/>
      <sheetName val="Projects_list11"/>
      <sheetName val="Target_Book11"/>
      <sheetName val="Données_LMU11"/>
      <sheetName val="PPM_Waterfall11"/>
      <sheetName val="Salary_Costs_drivers10"/>
      <sheetName val="Bloomberg_(Aluminio)10"/>
      <sheetName val="Bloomberg_(Libor)10"/>
      <sheetName val="material_data10"/>
      <sheetName val="other_data10"/>
      <sheetName val="Summary_-_LAN10"/>
      <sheetName val="data_input10"/>
      <sheetName val="Proced_10"/>
      <sheetName val="Cover_Page10"/>
      <sheetName val="User_Input10"/>
      <sheetName val="IS_BS_actual10"/>
      <sheetName val="Pg_110"/>
      <sheetName val="4__NWABC10"/>
      <sheetName val="Drop_Down10"/>
      <sheetName val="drop_down_list10"/>
      <sheetName val="Budget_Summary10"/>
      <sheetName val="RG_Depots10"/>
      <sheetName val="Quarterly_LBO_Model10"/>
      <sheetName val="BASE_BUD_Ratios10"/>
      <sheetName val="Summary_Input9"/>
      <sheetName val="Ayuda_desplegables9"/>
      <sheetName val="Resumo_por_P9"/>
      <sheetName val="Database_(RUR)Mar_YTD9"/>
      <sheetName val="Set_Up9"/>
      <sheetName val="LE_-_Input9"/>
      <sheetName val="Schroder_Small_Caps8"/>
      <sheetName val="Completion_Instructions7"/>
      <sheetName val="Mfg-Curr_Prod__-_147"/>
      <sheetName val="G&amp;A-Controllership_-_277"/>
      <sheetName val="G&amp;A-Total_-_257"/>
      <sheetName val="Despliegue_Legal7"/>
      <sheetName val="Mat_x_categ9"/>
      <sheetName val="Selection_Lists7"/>
      <sheetName val="CUENTAS_SAP7"/>
      <sheetName val="Sales_Package_Input7"/>
      <sheetName val="tab_prod7"/>
      <sheetName val="Load_Data7"/>
      <sheetName val="Sales_&amp;_MKT_Cost_7"/>
      <sheetName val="Sales_&amp;_MKT_Cost_AC7"/>
      <sheetName val="OHC+OP+CCC_AC7"/>
      <sheetName val="Maco_AC7"/>
      <sheetName val="BS_Flows7"/>
      <sheetName val="BAM Focus Brands"/>
      <sheetName val="Hoja2"/>
      <sheetName val="CDI"/>
      <sheetName val="Bloomberg"/>
      <sheetName val="Entrada de Dados"/>
      <sheetName val="ACUMULADOS OPERARIOS"/>
      <sheetName val="Supporting Data"/>
      <sheetName val="2022"/>
      <sheetName val="Validacion_#17"/>
      <sheetName val="Combined_Financials7"/>
      <sheetName val="Scoring_-_Do_not_update5"/>
      <sheetName val="EU_Comps2"/>
      <sheetName val="SCHEDULE_3_984"/>
      <sheetName val="EXPL_AGUA4"/>
      <sheetName val="dep_pre12"/>
      <sheetName val="DT_1999_(abst__from_model)12"/>
      <sheetName val="Share_Price_200212"/>
      <sheetName val="Cost_Elements_to_Use12"/>
      <sheetName val="Sales_Seasonality_by_Month12"/>
      <sheetName val="c3__fto12"/>
      <sheetName val="C3_Base_Tran12"/>
      <sheetName val="pbg_pbgpc_12"/>
      <sheetName val="pbg1_pbg2_pbg312"/>
      <sheetName val="vab_rem12"/>
      <sheetName val="WCOL_INDEX12"/>
      <sheetName val="WCOL_INPUT12"/>
      <sheetName val="Validate_List12"/>
      <sheetName val="MK_24412"/>
      <sheetName val="EI_Calc12"/>
      <sheetName val="Dados_BLP12"/>
      <sheetName val="Distribución_D12"/>
      <sheetName val="Months_and_Countries12"/>
      <sheetName val="Base_&amp;_LBO_Assumptions12"/>
      <sheetName val="JAII_Income12"/>
      <sheetName val="Holding_Page12"/>
      <sheetName val="JAII_Balance12"/>
      <sheetName val="Sensitivity_Data12"/>
      <sheetName val="FX_rates12"/>
      <sheetName val="SAP_Budget_by_Contain_Loc12"/>
      <sheetName val="Brazil_Sovereign12"/>
      <sheetName val="Projects_list12"/>
      <sheetName val="Target_Book12"/>
      <sheetName val="Données_LMU12"/>
      <sheetName val="PPM_Waterfall12"/>
      <sheetName val="Salary_Costs_drivers11"/>
      <sheetName val="Bloomberg_(Aluminio)11"/>
      <sheetName val="Bloomberg_(Libor)11"/>
      <sheetName val="material_data11"/>
      <sheetName val="other_data11"/>
      <sheetName val="Summary_-_LAN11"/>
      <sheetName val="data_input11"/>
      <sheetName val="Proced_11"/>
      <sheetName val="Cover_Page11"/>
      <sheetName val="User_Input11"/>
      <sheetName val="IS_BS_actual11"/>
      <sheetName val="Pg_111"/>
      <sheetName val="4__NWABC11"/>
      <sheetName val="Drop_Down11"/>
      <sheetName val="drop_down_list11"/>
      <sheetName val="Budget_Summary11"/>
      <sheetName val="RG_Depots11"/>
      <sheetName val="Quarterly_LBO_Model11"/>
      <sheetName val="BASE_BUD_Ratios11"/>
      <sheetName val="Summary_Input10"/>
      <sheetName val="Ayuda_desplegables10"/>
      <sheetName val="Resumo_por_P10"/>
      <sheetName val="Database_(RUR)Mar_YTD10"/>
      <sheetName val="Set_Up10"/>
      <sheetName val="LE_-_Input10"/>
      <sheetName val="Schroder_Small_Caps9"/>
      <sheetName val="Completion_Instructions8"/>
      <sheetName val="Mfg-Curr_Prod__-_148"/>
      <sheetName val="G&amp;A-Controllership_-_278"/>
      <sheetName val="G&amp;A-Total_-_258"/>
      <sheetName val="Despliegue_Legal8"/>
      <sheetName val="Mat_x_categ10"/>
      <sheetName val="Selection_Lists8"/>
      <sheetName val="CUENTAS_SAP8"/>
      <sheetName val="Sales_Package_Input8"/>
      <sheetName val="tab_prod8"/>
      <sheetName val="Load_Data8"/>
      <sheetName val="Sales_&amp;_MKT_Cost_8"/>
      <sheetName val="Sales_&amp;_MKT_Cost_AC8"/>
      <sheetName val="OHC+OP+CCC_AC8"/>
      <sheetName val="Maco_AC8"/>
      <sheetName val="BS_Flows8"/>
      <sheetName val="Dados_gefab4"/>
      <sheetName val="Gráficos_volúmen4"/>
      <sheetName val="_"/>
      <sheetName val="Non-Statistical Sampling"/>
      <sheetName val="AR Drop Downs"/>
      <sheetName val="DropDown"/>
      <sheetName val="Non-Statistical_Sampling"/>
      <sheetName val="AR_Drop_Downs"/>
      <sheetName val="BAM_Focus_Brands"/>
      <sheetName val="Entrada_de_Dados"/>
      <sheetName val="ACUMULADOS_OPERARIOS"/>
      <sheetName val="Supporting_Data"/>
      <sheetName val="Cur.Ex Rate"/>
      <sheetName val="Sheet291"/>
      <sheetName val="Validacion_#18"/>
      <sheetName val="Combined_Financials8"/>
      <sheetName val="Scoring_-_Do_not_update6"/>
      <sheetName val="SCHEDULE_3_985"/>
      <sheetName val="EXPL_AGUA5"/>
      <sheetName val="EU_Comps3"/>
      <sheetName val="dep_pre13"/>
      <sheetName val="DT_1999_(abst__from_model)13"/>
      <sheetName val="Share_Price_200213"/>
      <sheetName val="Cost_Elements_to_Use13"/>
      <sheetName val="Sales_Seasonality_by_Month13"/>
      <sheetName val="c3__fto13"/>
      <sheetName val="C3_Base_Tran13"/>
      <sheetName val="pbg_pbgpc_13"/>
      <sheetName val="pbg1_pbg2_pbg313"/>
      <sheetName val="vab_rem13"/>
      <sheetName val="WCOL_INDEX13"/>
      <sheetName val="WCOL_INPUT13"/>
      <sheetName val="Validate_List13"/>
      <sheetName val="MK_24413"/>
      <sheetName val="EI_Calc13"/>
      <sheetName val="Dados_BLP13"/>
      <sheetName val="Distribución_D13"/>
      <sheetName val="Months_and_Countries13"/>
      <sheetName val="Base_&amp;_LBO_Assumptions13"/>
      <sheetName val="JAII_Income13"/>
      <sheetName val="Holding_Page13"/>
      <sheetName val="JAII_Balance13"/>
      <sheetName val="Sensitivity_Data13"/>
      <sheetName val="FX_rates13"/>
      <sheetName val="SAP_Budget_by_Contain_Loc13"/>
      <sheetName val="Brazil_Sovereign13"/>
      <sheetName val="Projects_list13"/>
      <sheetName val="Target_Book13"/>
      <sheetName val="Données_LMU13"/>
      <sheetName val="PPM_Waterfall13"/>
      <sheetName val="Salary_Costs_drivers12"/>
      <sheetName val="Bloomberg_(Aluminio)12"/>
      <sheetName val="Bloomberg_(Libor)12"/>
      <sheetName val="material_data12"/>
      <sheetName val="other_data12"/>
      <sheetName val="Summary_-_LAN12"/>
      <sheetName val="data_input12"/>
      <sheetName val="Proced_12"/>
      <sheetName val="Cover_Page12"/>
      <sheetName val="User_Input12"/>
      <sheetName val="IS_BS_actual12"/>
      <sheetName val="Pg_112"/>
      <sheetName val="4__NWABC12"/>
      <sheetName val="Drop_Down12"/>
      <sheetName val="drop_down_list12"/>
      <sheetName val="Budget_Summary12"/>
      <sheetName val="RG_Depots12"/>
      <sheetName val="Quarterly_LBO_Model12"/>
      <sheetName val="BASE_BUD_Ratios12"/>
      <sheetName val="Summary_Input11"/>
      <sheetName val="Ayuda_desplegables11"/>
      <sheetName val="Resumo_por_P11"/>
      <sheetName val="Database_(RUR)Mar_YTD11"/>
      <sheetName val="Set_Up11"/>
      <sheetName val="LE_-_Input11"/>
      <sheetName val="Schroder_Small_Caps10"/>
      <sheetName val="Completion_Instructions9"/>
      <sheetName val="Mfg-Curr_Prod__-_149"/>
      <sheetName val="G&amp;A-Controllership_-_279"/>
      <sheetName val="G&amp;A-Total_-_259"/>
      <sheetName val="Despliegue_Legal9"/>
      <sheetName val="Mat_x_categ11"/>
      <sheetName val="Selection_Lists9"/>
      <sheetName val="CUENTAS_SAP9"/>
      <sheetName val="Sales_Package_Input9"/>
      <sheetName val="tab_prod9"/>
      <sheetName val="Load_Data9"/>
      <sheetName val="Sales_&amp;_MKT_Cost_9"/>
      <sheetName val="Sales_&amp;_MKT_Cost_AC9"/>
      <sheetName val="OHC+OP+CCC_AC9"/>
      <sheetName val="Maco_AC9"/>
      <sheetName val="BS_Flows9"/>
      <sheetName val="Validacion_#19"/>
      <sheetName val="Dados_gefab5"/>
      <sheetName val="Gráficos_volúmen5"/>
      <sheetName val="EU_Comps4"/>
      <sheetName val="Combined_Financials9"/>
      <sheetName val="Scoring_-_Do_not_update7"/>
      <sheetName val="EXPL_AGUA6"/>
      <sheetName val="SCHEDULE_3_986"/>
      <sheetName val="_1"/>
      <sheetName val="Non-Statistical_Sampling1"/>
      <sheetName val="AR_Drop_Downs1"/>
      <sheetName val="BAM_Focus_Brands1"/>
      <sheetName val="Entrada_de_Dados1"/>
      <sheetName val="ACUMULADOS_OPERARIOS1"/>
      <sheetName val="Supporting_Data1"/>
      <sheetName val="Cur_Ex_Rate"/>
      <sheetName val="dep_pre14"/>
      <sheetName val="DT_1999_(abst__from_model)14"/>
      <sheetName val="Share_Price_200214"/>
      <sheetName val="Cost_Elements_to_Use14"/>
      <sheetName val="Sales_Seasonality_by_Month14"/>
      <sheetName val="c3__fto14"/>
      <sheetName val="C3_Base_Tran14"/>
      <sheetName val="pbg_pbgpc_14"/>
      <sheetName val="pbg1_pbg2_pbg314"/>
      <sheetName val="vab_rem14"/>
      <sheetName val="WCOL_INDEX14"/>
      <sheetName val="WCOL_INPUT14"/>
      <sheetName val="Validate_List14"/>
      <sheetName val="MK_24414"/>
      <sheetName val="EI_Calc14"/>
      <sheetName val="Dados_BLP14"/>
      <sheetName val="Distribución_D14"/>
      <sheetName val="Months_and_Countries14"/>
      <sheetName val="Base_&amp;_LBO_Assumptions14"/>
      <sheetName val="JAII_Income14"/>
      <sheetName val="Holding_Page14"/>
      <sheetName val="JAII_Balance14"/>
      <sheetName val="Sensitivity_Data14"/>
      <sheetName val="FX_rates14"/>
      <sheetName val="SAP_Budget_by_Contain_Loc14"/>
      <sheetName val="Brazil_Sovereign14"/>
      <sheetName val="Projects_list14"/>
      <sheetName val="Target_Book14"/>
      <sheetName val="Données_LMU14"/>
      <sheetName val="PPM_Waterfall14"/>
      <sheetName val="Salary_Costs_drivers13"/>
      <sheetName val="Bloomberg_(Aluminio)13"/>
      <sheetName val="Bloomberg_(Libor)13"/>
      <sheetName val="material_data13"/>
      <sheetName val="other_data13"/>
      <sheetName val="Summary_-_LAN13"/>
      <sheetName val="data_input13"/>
      <sheetName val="Proced_13"/>
      <sheetName val="Cover_Page13"/>
      <sheetName val="User_Input13"/>
      <sheetName val="IS_BS_actual13"/>
      <sheetName val="Pg_113"/>
      <sheetName val="4__NWABC13"/>
      <sheetName val="Drop_Down13"/>
      <sheetName val="drop_down_list13"/>
      <sheetName val="Budget_Summary13"/>
      <sheetName val="RG_Depots13"/>
      <sheetName val="Quarterly_LBO_Model13"/>
      <sheetName val="BASE_BUD_Ratios13"/>
      <sheetName val="Summary_Input12"/>
      <sheetName val="Ayuda_desplegables12"/>
      <sheetName val="Resumo_por_P12"/>
      <sheetName val="Database_(RUR)Mar_YTD12"/>
      <sheetName val="Set_Up12"/>
      <sheetName val="LE_-_Input12"/>
      <sheetName val="Schroder_Small_Caps11"/>
      <sheetName val="Completion_Instructions10"/>
      <sheetName val="Mfg-Curr_Prod__-_1410"/>
      <sheetName val="G&amp;A-Controllership_-_2710"/>
      <sheetName val="G&amp;A-Total_-_2510"/>
      <sheetName val="Despliegue_Legal10"/>
      <sheetName val="Mat_x_categ12"/>
      <sheetName val="Selection_Lists10"/>
      <sheetName val="CUENTAS_SAP10"/>
      <sheetName val="Sales_Package_Input10"/>
      <sheetName val="tab_prod10"/>
      <sheetName val="Load_Data10"/>
      <sheetName val="Sales_&amp;_MKT_Cost_10"/>
      <sheetName val="Sales_&amp;_MKT_Cost_AC10"/>
      <sheetName val="OHC+OP+CCC_AC10"/>
      <sheetName val="Maco_AC10"/>
      <sheetName val="BS_Flows10"/>
      <sheetName val="EXPL_AGUA7"/>
      <sheetName val="Validacion_#110"/>
      <sheetName val="Dados_gefab6"/>
      <sheetName val="Gráficos_volúmen6"/>
      <sheetName val="EU_Comps5"/>
      <sheetName val="Combined_Financials10"/>
      <sheetName val="Scoring_-_Do_not_update8"/>
      <sheetName val="SCHEDULE_3_987"/>
      <sheetName val="_2"/>
      <sheetName val="BAM_Focus_Brands2"/>
      <sheetName val="Entrada_de_Dados2"/>
      <sheetName val="ACUMULADOS_OPERARIOS2"/>
      <sheetName val="Supporting_Data2"/>
      <sheetName val="Non-Statistical_Sampling2"/>
      <sheetName val="AR_Drop_Downs2"/>
      <sheetName val="Cur_Ex_Rate1"/>
      <sheetName val="WUS$"/>
      <sheetName val="dep_pre15"/>
      <sheetName val="c3__fto15"/>
      <sheetName val="C3_Base_Tran15"/>
      <sheetName val="pbg_pbgpc_15"/>
      <sheetName val="pbg1_pbg2_pbg315"/>
      <sheetName val="vab_rem15"/>
      <sheetName val="WCOL_INDEX15"/>
      <sheetName val="WCOL_INPUT15"/>
      <sheetName val="MK_24415"/>
      <sheetName val="Validate_List15"/>
      <sheetName val="Share_Price_200215"/>
      <sheetName val="DT_1999_(abst__from_model)15"/>
      <sheetName val="Cost_Elements_to_Use15"/>
      <sheetName val="Base_&amp;_LBO_Assumptions15"/>
      <sheetName val="JAII_Income15"/>
      <sheetName val="Holding_Page15"/>
      <sheetName val="JAII_Balance15"/>
      <sheetName val="Sensitivity_Data15"/>
      <sheetName val="Sales_Seasonality_by_Month15"/>
      <sheetName val="EI_Calc15"/>
      <sheetName val="Dados_BLP15"/>
      <sheetName val="Months_and_Countries15"/>
      <sheetName val="Distribución_D15"/>
      <sheetName val="FX_rates15"/>
      <sheetName val="SAP_Budget_by_Contain_Loc15"/>
      <sheetName val="Projects_list15"/>
      <sheetName val="Target_Book15"/>
      <sheetName val="Données_LMU15"/>
      <sheetName val="Brazil_Sovereign15"/>
      <sheetName val="PPM_Waterfall15"/>
      <sheetName val="Salary_Costs_drivers14"/>
      <sheetName val="data_input14"/>
      <sheetName val="material_data14"/>
      <sheetName val="other_data14"/>
      <sheetName val="Proced_14"/>
      <sheetName val="Bloomberg_(Aluminio)14"/>
      <sheetName val="Bloomberg_(Libor)14"/>
      <sheetName val="Summary_-_LAN14"/>
      <sheetName val="Budget_Summary14"/>
      <sheetName val="Pg_114"/>
      <sheetName val="4__NWABC14"/>
      <sheetName val="Drop_Down14"/>
      <sheetName val="drop_down_list14"/>
      <sheetName val="IS_BS_actual14"/>
      <sheetName val="Cover_Page14"/>
      <sheetName val="User_Input14"/>
      <sheetName val="RG_Depots14"/>
      <sheetName val="Quarterly_LBO_Model14"/>
      <sheetName val="BASE_BUD_Ratios14"/>
      <sheetName val="Ayuda_desplegables13"/>
      <sheetName val="Summary_Input13"/>
      <sheetName val="Set_Up13"/>
      <sheetName val="LE_-_Input13"/>
      <sheetName val="Resumo_por_P13"/>
      <sheetName val="Database_(RUR)Mar_YTD13"/>
      <sheetName val="Mat_x_categ13"/>
      <sheetName val="Schroder_Small_Caps12"/>
      <sheetName val="Mfg-Curr_Prod__-_1411"/>
      <sheetName val="G&amp;A-Controllership_-_2711"/>
      <sheetName val="G&amp;A-Total_-_2511"/>
      <sheetName val="Despliegue_Legal11"/>
      <sheetName val="Selection_Lists11"/>
      <sheetName val="Completion_Instructions11"/>
      <sheetName val="Sales_Package_Input11"/>
      <sheetName val="CUENTAS_SAP11"/>
      <sheetName val="Load_Data11"/>
      <sheetName val="tab_prod11"/>
      <sheetName val="Sales_&amp;_MKT_Cost_11"/>
      <sheetName val="Sales_&amp;_MKT_Cost_AC11"/>
      <sheetName val="OHC+OP+CCC_AC11"/>
      <sheetName val="Maco_AC11"/>
      <sheetName val="Validacion_#111"/>
      <sheetName val="Combined_Financials11"/>
      <sheetName val="Scoring_-_Do_not_update9"/>
      <sheetName val="BS_Flows11"/>
      <sheetName val="SCHEDULE_3_988"/>
      <sheetName val="EXPL_AGUA8"/>
      <sheetName val="Dados_gefab7"/>
      <sheetName val="EU_Comps6"/>
      <sheetName val="Gráficos_volúmen7"/>
      <sheetName val="_3"/>
      <sheetName val="BAM_Focus_Brands3"/>
      <sheetName val="Entrada_de_Dados3"/>
      <sheetName val="ACUMULADOS_OPERARIOS3"/>
      <sheetName val="Supporting_Data3"/>
      <sheetName val="Challenges"/>
      <sheetName val="FY Bgt"/>
      <sheetName val="YTD"/>
      <sheetName val="Mapping"/>
      <sheetName val="AS"/>
      <sheetName val="10IM"/>
      <sheetName val="RAW AUS"/>
      <sheetName val="RAW NZP"/>
      <sheetName val="Cockpit"/>
      <sheetName val="Qs"/>
      <sheetName val="Overview Waterfall"/>
      <sheetName val="Report-Daily"/>
      <sheetName val="MACOMixData"/>
      <sheetName val="NRMixData"/>
      <sheetName val="NRMixData_YTD"/>
      <sheetName val="Value lists"/>
      <sheetName val="SW-TEO"/>
      <sheetName val="Ref"/>
      <sheetName val="dep_pre16"/>
      <sheetName val="c3__fto16"/>
      <sheetName val="C3_Base_Tran16"/>
      <sheetName val="pbg_pbgpc_16"/>
      <sheetName val="pbg1_pbg2_pbg316"/>
      <sheetName val="vab_rem16"/>
      <sheetName val="WCOL_INDEX16"/>
      <sheetName val="WCOL_INPUT16"/>
      <sheetName val="MK_24416"/>
      <sheetName val="Validate_List16"/>
      <sheetName val="Share_Price_200216"/>
      <sheetName val="DT_1999_(abst__from_model)16"/>
      <sheetName val="Cost_Elements_to_Use16"/>
      <sheetName val="Base_&amp;_LBO_Assumptions16"/>
      <sheetName val="JAII_Income16"/>
      <sheetName val="Holding_Page16"/>
      <sheetName val="JAII_Balance16"/>
      <sheetName val="Sensitivity_Data16"/>
      <sheetName val="Sales_Seasonality_by_Month16"/>
      <sheetName val="EI_Calc16"/>
      <sheetName val="Dados_BLP16"/>
      <sheetName val="Months_and_Countries16"/>
      <sheetName val="Distribución_D16"/>
      <sheetName val="FX_rates16"/>
      <sheetName val="SAP_Budget_by_Contain_Loc16"/>
      <sheetName val="Projects_list16"/>
      <sheetName val="Target_Book16"/>
      <sheetName val="Données_LMU16"/>
      <sheetName val="Brazil_Sovereign16"/>
      <sheetName val="PPM_Waterfall16"/>
      <sheetName val="Salary_Costs_drivers15"/>
      <sheetName val="data_input15"/>
      <sheetName val="material_data15"/>
      <sheetName val="other_data15"/>
      <sheetName val="Bloomberg_(Aluminio)15"/>
      <sheetName val="Bloomberg_(Libor)15"/>
      <sheetName val="Summary_-_LAN15"/>
      <sheetName val="Proced_15"/>
      <sheetName val="IS_BS_actual15"/>
      <sheetName val="Budget_Summary15"/>
      <sheetName val="Pg_115"/>
      <sheetName val="4__NWABC15"/>
      <sheetName val="Drop_Down15"/>
      <sheetName val="drop_down_list15"/>
      <sheetName val="Cover_Page15"/>
      <sheetName val="User_Input15"/>
      <sheetName val="RG_Depots15"/>
      <sheetName val="Quarterly_LBO_Model15"/>
      <sheetName val="BASE_BUD_Ratios15"/>
      <sheetName val="Ayuda_desplegables14"/>
      <sheetName val="Summary_Input14"/>
      <sheetName val="Set_Up14"/>
      <sheetName val="LE_-_Input14"/>
      <sheetName val="Resumo_por_P14"/>
      <sheetName val="Database_(RUR)Mar_YTD14"/>
      <sheetName val="Mat_x_categ14"/>
      <sheetName val="Schroder_Small_Caps13"/>
      <sheetName val="Mfg-Curr_Prod__-_1412"/>
      <sheetName val="G&amp;A-Controllership_-_2712"/>
      <sheetName val="G&amp;A-Total_-_2512"/>
      <sheetName val="Despliegue_Legal12"/>
      <sheetName val="Completion_Instructions12"/>
      <sheetName val="Selection_Lists12"/>
      <sheetName val="Sales_Package_Input12"/>
      <sheetName val="CUENTAS_SAP12"/>
      <sheetName val="Load_Data12"/>
      <sheetName val="tab_prod12"/>
      <sheetName val="Sales_&amp;_MKT_Cost_12"/>
      <sheetName val="Sales_&amp;_MKT_Cost_AC12"/>
      <sheetName val="OHC+OP+CCC_AC12"/>
      <sheetName val="Maco_AC12"/>
      <sheetName val="Validacion_#112"/>
      <sheetName val="Combined_Financials12"/>
      <sheetName val="Scoring_-_Do_not_update10"/>
      <sheetName val="BS_Flows12"/>
      <sheetName val="SCHEDULE_3_989"/>
      <sheetName val="EXPL_AGUA9"/>
      <sheetName val="Dados_gefab8"/>
      <sheetName val="EU_Comps7"/>
      <sheetName val="Gráficos_volúmen8"/>
      <sheetName val="_4"/>
      <sheetName val="BAM_Focus_Brands4"/>
      <sheetName val="Entrada_de_Dados4"/>
      <sheetName val="ACUMULADOS_OPERARIOS4"/>
      <sheetName val="Supporting_Data4"/>
      <sheetName val="Cur_Ex_Rate2"/>
      <sheetName val="Non-Statistical_Sampling3"/>
      <sheetName val="AR_Drop_Downs3"/>
      <sheetName val="BDM"/>
      <sheetName val="Vols, GSV"/>
      <sheetName val="Tax"/>
      <sheetName val="VIC"/>
      <sheetName val="Salaries"/>
      <sheetName val="D&amp;A"/>
      <sheetName val="TM1"/>
      <sheetName val="FX"/>
      <sheetName val="TM1_Pivot"/>
      <sheetName val="Vols,_GSV"/>
      <sheetName val="Vols,_GSV1"/>
      <sheetName val="Vols,_GSV2"/>
      <sheetName val="Vols,_GSV3"/>
      <sheetName val="Vols,_GSV4"/>
      <sheetName val="Vols,_GSV5"/>
      <sheetName val="Vols,_GSV7"/>
      <sheetName val="Vols,_GSV6"/>
      <sheetName val="T-LIST"/>
      <sheetName val="Cur_Ex_Rate3"/>
      <sheetName val="Non-Statistical_Sampling4"/>
      <sheetName val="AR_Drop_Downs4"/>
      <sheetName val="은행"/>
      <sheetName val="Vols,_GSV8"/>
      <sheetName val="dep_pre17"/>
      <sheetName val="DT_1999_(abst__from_model)17"/>
      <sheetName val="Share_Price_200217"/>
      <sheetName val="Cost_Elements_to_Use17"/>
      <sheetName val="Sales_Seasonality_by_Month17"/>
      <sheetName val="c3__fto17"/>
      <sheetName val="C3_Base_Tran17"/>
      <sheetName val="pbg_pbgpc_17"/>
      <sheetName val="pbg1_pbg2_pbg317"/>
      <sheetName val="vab_rem17"/>
      <sheetName val="WCOL_INDEX17"/>
      <sheetName val="WCOL_INPUT17"/>
      <sheetName val="Validate_List17"/>
      <sheetName val="MK_24417"/>
      <sheetName val="EI_Calc17"/>
      <sheetName val="Dados_BLP17"/>
      <sheetName val="Distribución_D17"/>
      <sheetName val="Months_and_Countries17"/>
      <sheetName val="Base_&amp;_LBO_Assumptions17"/>
      <sheetName val="JAII_Income17"/>
      <sheetName val="Holding_Page17"/>
      <sheetName val="JAII_Balance17"/>
      <sheetName val="Sensitivity_Data17"/>
      <sheetName val="FX_rates17"/>
      <sheetName val="SAP_Budget_by_Contain_Loc17"/>
      <sheetName val="Brazil_Sovereign17"/>
      <sheetName val="Projects_list17"/>
      <sheetName val="Target_Book17"/>
      <sheetName val="Données_LMU17"/>
      <sheetName val="PPM_Waterfall17"/>
      <sheetName val="Salary_Costs_drivers16"/>
      <sheetName val="Bloomberg_(Aluminio)16"/>
      <sheetName val="Bloomberg_(Libor)16"/>
      <sheetName val="material_data16"/>
      <sheetName val="other_data16"/>
      <sheetName val="Summary_-_LAN16"/>
      <sheetName val="data_input16"/>
      <sheetName val="Proced_16"/>
      <sheetName val="Cover_Page16"/>
      <sheetName val="User_Input16"/>
      <sheetName val="IS_BS_actual16"/>
      <sheetName val="Pg_116"/>
      <sheetName val="4__NWABC16"/>
      <sheetName val="Drop_Down16"/>
      <sheetName val="drop_down_list16"/>
      <sheetName val="Budget_Summary16"/>
      <sheetName val="RG_Depots16"/>
      <sheetName val="Quarterly_LBO_Model16"/>
      <sheetName val="BASE_BUD_Ratios16"/>
      <sheetName val="Summary_Input15"/>
      <sheetName val="Ayuda_desplegables15"/>
      <sheetName val="Resumo_por_P15"/>
      <sheetName val="Database_(RUR)Mar_YTD15"/>
      <sheetName val="Set_Up15"/>
      <sheetName val="LE_-_Input15"/>
      <sheetName val="Schroder_Small_Caps14"/>
      <sheetName val="Completion_Instructions13"/>
      <sheetName val="Mfg-Curr_Prod__-_1413"/>
      <sheetName val="G&amp;A-Controllership_-_2713"/>
      <sheetName val="G&amp;A-Total_-_2513"/>
      <sheetName val="Despliegue_Legal13"/>
      <sheetName val="Mat_x_categ15"/>
      <sheetName val="Selection_Lists13"/>
      <sheetName val="CUENTAS_SAP13"/>
      <sheetName val="Sales_Package_Input13"/>
      <sheetName val="tab_prod13"/>
      <sheetName val="Load_Data13"/>
      <sheetName val="Sales_&amp;_MKT_Cost_13"/>
      <sheetName val="Sales_&amp;_MKT_Cost_AC13"/>
      <sheetName val="OHC+OP+CCC_AC13"/>
      <sheetName val="Maco_AC13"/>
      <sheetName val="BS_Flows13"/>
      <sheetName val="EXPL_AGUA10"/>
      <sheetName val="Validacion_#113"/>
      <sheetName val="Dados_gefab9"/>
      <sheetName val="Gráficos_volúmen9"/>
      <sheetName val="EU_Comps8"/>
      <sheetName val="Combined_Financials13"/>
      <sheetName val="Scoring_-_Do_not_update11"/>
      <sheetName val="SCHEDULE_3_9810"/>
      <sheetName val="_5"/>
      <sheetName val="BAM_Focus_Brands5"/>
      <sheetName val="Entrada_de_Dados5"/>
      <sheetName val="ACUMULADOS_OPERARIOS5"/>
      <sheetName val="Supporting_Data5"/>
      <sheetName val="FY_Bgt"/>
      <sheetName val="RAW_AUS"/>
      <sheetName val="RAW_NZP"/>
      <sheetName val="Overview_Waterfall"/>
      <sheetName val="Value_lists"/>
      <sheetName val="LBO"/>
      <sheetName val="GraphData"/>
      <sheetName val="Chart data"/>
      <sheetName val="calcs"/>
      <sheetName val="1 月"/>
      <sheetName val="TT打卡"/>
      <sheetName val="Vols,_GSV9"/>
      <sheetName val="dep_pre18"/>
      <sheetName val="c3__fto18"/>
      <sheetName val="C3_Base_Tran18"/>
      <sheetName val="pbg_pbgpc_18"/>
      <sheetName val="pbg1_pbg2_pbg318"/>
      <sheetName val="vab_rem18"/>
      <sheetName val="WCOL_INDEX18"/>
      <sheetName val="WCOL_INPUT18"/>
      <sheetName val="MK_24418"/>
      <sheetName val="Validate_List18"/>
      <sheetName val="Share_Price_200218"/>
      <sheetName val="DT_1999_(abst__from_model)18"/>
      <sheetName val="Cost_Elements_to_Use18"/>
      <sheetName val="Base_&amp;_LBO_Assumptions18"/>
      <sheetName val="JAII_Income18"/>
      <sheetName val="Holding_Page18"/>
      <sheetName val="JAII_Balance18"/>
      <sheetName val="Sensitivity_Data18"/>
      <sheetName val="Sales_Seasonality_by_Month18"/>
      <sheetName val="EI_Calc18"/>
      <sheetName val="Dados_BLP18"/>
      <sheetName val="Months_and_Countries18"/>
      <sheetName val="Distribución_D18"/>
      <sheetName val="FX_rates18"/>
      <sheetName val="SAP_Budget_by_Contain_Loc18"/>
      <sheetName val="Projects_list18"/>
      <sheetName val="Target_Book18"/>
      <sheetName val="Données_LMU18"/>
      <sheetName val="Brazil_Sovereign18"/>
      <sheetName val="PPM_Waterfall18"/>
      <sheetName val="Salary_Costs_drivers17"/>
      <sheetName val="data_input17"/>
      <sheetName val="material_data17"/>
      <sheetName val="other_data17"/>
      <sheetName val="Proced_17"/>
      <sheetName val="Bloomberg_(Aluminio)17"/>
      <sheetName val="Bloomberg_(Libor)17"/>
      <sheetName val="Summary_-_LAN17"/>
      <sheetName val="IS_BS_actual17"/>
      <sheetName val="Budget_Summary17"/>
      <sheetName val="Pg_117"/>
      <sheetName val="4__NWABC17"/>
      <sheetName val="Drop_Down17"/>
      <sheetName val="drop_down_list17"/>
      <sheetName val="Cover_Page17"/>
      <sheetName val="User_Input17"/>
      <sheetName val="RG_Depots17"/>
      <sheetName val="Quarterly_LBO_Model17"/>
      <sheetName val="BASE_BUD_Ratios17"/>
      <sheetName val="Ayuda_desplegables16"/>
      <sheetName val="Summary_Input16"/>
      <sheetName val="LE_-_Input16"/>
      <sheetName val="Set_Up16"/>
      <sheetName val="Database_(RUR)Mar_YTD16"/>
      <sheetName val="Resumo_por_P16"/>
      <sheetName val="Mat_x_categ16"/>
      <sheetName val="Mfg-Curr_Prod__-_1414"/>
      <sheetName val="G&amp;A-Controllership_-_2714"/>
      <sheetName val="G&amp;A-Total_-_2514"/>
      <sheetName val="Despliegue_Legal14"/>
      <sheetName val="Schroder_Small_Caps15"/>
      <sheetName val="Completion_Instructions14"/>
      <sheetName val="Selection_Lists14"/>
      <sheetName val="Sales_Package_Input14"/>
      <sheetName val="Load_Data14"/>
      <sheetName val="CUENTAS_SAP14"/>
      <sheetName val="tab_prod14"/>
      <sheetName val="Sales_&amp;_MKT_Cost_14"/>
      <sheetName val="Sales_&amp;_MKT_Cost_AC14"/>
      <sheetName val="OHC+OP+CCC_AC14"/>
      <sheetName val="Maco_AC14"/>
      <sheetName val="Validacion_#114"/>
      <sheetName val="Combined_Financials14"/>
      <sheetName val="Scoring_-_Do_not_update12"/>
      <sheetName val="BS_Flows14"/>
      <sheetName val="SCHEDULE_3_9811"/>
      <sheetName val="EXPL_AGUA11"/>
      <sheetName val="Dados_gefab10"/>
      <sheetName val="EU_Comps9"/>
      <sheetName val="Gráficos_volúmen10"/>
      <sheetName val="_6"/>
      <sheetName val="BAM_Focus_Brands6"/>
      <sheetName val="Entrada_de_Dados6"/>
      <sheetName val="ACUMULADOS_OPERARIOS6"/>
      <sheetName val="Supporting_Data6"/>
      <sheetName val="Cur_Ex_Rate4"/>
      <sheetName val="Non-Statistical_Sampling5"/>
      <sheetName val="AR_Drop_Downs5"/>
      <sheetName val="Vols,_GSV10"/>
      <sheetName val="ARMADO"/>
      <sheetName val="Income SAP PCS"/>
      <sheetName val="Income SAP LD"/>
      <sheetName val="Income SAP N S H"/>
      <sheetName val="Interdependent CAT"/>
      <sheetName val="Selection_Setting"/>
      <sheetName val="1.4SKU"/>
      <sheetName val="Drop-Down"/>
      <sheetName val="Instructions"/>
      <sheetName val="Summary"/>
      <sheetName val="PS Entity"/>
      <sheetName val="有效性"/>
      <sheetName val="SPkg Summary"/>
      <sheetName val="Pillars"/>
      <sheetName val="1_4SKU"/>
      <sheetName val="PS_Entity"/>
      <sheetName val="Chart_data"/>
      <sheetName val="SPkg_Summary"/>
      <sheetName val="Sum"/>
      <sheetName val="Cur_Ex_Rate5"/>
      <sheetName val="Non-Statistical_Sampling6"/>
      <sheetName val="AR_Drop_Downs6"/>
      <sheetName val="Sound9월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/>
      <sheetData sheetId="192" refreshError="1"/>
      <sheetData sheetId="193" refreshError="1"/>
      <sheetData sheetId="194" refreshError="1"/>
      <sheetData sheetId="195" refreshError="1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/>
      <sheetData sheetId="274" refreshError="1"/>
      <sheetData sheetId="275" refreshError="1"/>
      <sheetData sheetId="276" refreshError="1"/>
      <sheetData sheetId="277" refreshError="1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/>
      <sheetData sheetId="767"/>
      <sheetData sheetId="768" refreshError="1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/>
      <sheetData sheetId="855"/>
      <sheetData sheetId="856"/>
      <sheetData sheetId="857"/>
      <sheetData sheetId="858" refreshError="1"/>
      <sheetData sheetId="859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/>
      <sheetData sheetId="867"/>
      <sheetData sheetId="868"/>
      <sheetData sheetId="869"/>
      <sheetData sheetId="870"/>
      <sheetData sheetId="871"/>
      <sheetData sheetId="872"/>
      <sheetData sheetId="873" refreshError="1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 refreshError="1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 refreshError="1"/>
      <sheetData sheetId="1028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 refreshError="1"/>
      <sheetData sheetId="1117" refreshError="1"/>
      <sheetData sheetId="1118" refreshError="1"/>
      <sheetData sheetId="1119"/>
      <sheetData sheetId="1120"/>
      <sheetData sheetId="1121"/>
      <sheetData sheetId="1122"/>
      <sheetData sheetId="1123"/>
      <sheetData sheetId="1124"/>
      <sheetData sheetId="1125" refreshError="1"/>
      <sheetData sheetId="1126" refreshError="1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 refreshError="1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 refreshError="1"/>
      <sheetData sheetId="1519"/>
      <sheetData sheetId="1520"/>
      <sheetData sheetId="1521"/>
      <sheetData sheetId="1522" refreshError="1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 refreshError="1"/>
      <sheetData sheetId="1615" refreshError="1"/>
      <sheetData sheetId="1616"/>
      <sheetData sheetId="1617"/>
      <sheetData sheetId="1618" refreshError="1"/>
      <sheetData sheetId="1619" refreshError="1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/>
      <sheetData sheetId="1725"/>
      <sheetData sheetId="1726"/>
      <sheetData sheetId="1727"/>
      <sheetData sheetId="1728" refreshError="1"/>
      <sheetData sheetId="1729"/>
      <sheetData sheetId="1730"/>
      <sheetData sheetId="1731"/>
      <sheetData sheetId="173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1019TblReprt"/>
      <sheetName val="J1019TablOptDoss"/>
      <sheetName val="J1019IdentificationSIV"/>
      <sheetName val="J1019TblExploTermine"/>
      <sheetName val="J1019TablDiagnostic"/>
      <sheetName val="J1019Remarques"/>
      <sheetName val="SIV"/>
      <sheetName val="J1019TablDocWord"/>
      <sheetName val="J1019NomFeuilleRAC"/>
      <sheetName val="ListeDesRajustements"/>
      <sheetName val="Bad debts_GST_QST"/>
      <sheetName val="Créances liste"/>
      <sheetName val="Sondage radiation"/>
      <sheetName val="Section 400_401 QST"/>
      <sheetName val="QST overpaid DGN"/>
      <sheetName val="QST from DGN 2006"/>
      <sheetName val="QST from DGN 2005"/>
      <sheetName val="Documents not received GST_QST"/>
      <sheetName val="Diff GST QST_ returns"/>
      <sheetName val="Conc JV_Taxes"/>
      <sheetName val="Sondage ventes"/>
      <sheetName val="Sondage ventes fact. 0$ taxes"/>
      <sheetName val="PDA Escompte 2008"/>
      <sheetName val="GL 11285_TPS Mtl 2005"/>
      <sheetName val="GL 11285_TPS Mtl 2006"/>
      <sheetName val="GL 11285_TPS Mtl 2007"/>
      <sheetName val="GL 11285_TPS Mtl 2008"/>
      <sheetName val="Sondage GL TPS"/>
      <sheetName val="GL 11289_11292 TVQ 2008"/>
      <sheetName val="GL 11289_TVQ 2007"/>
      <sheetName val="GL 11292_Pst Pay Mtl 2006"/>
      <sheetName val="GL 11289_11292 TVQ 2005"/>
      <sheetName val="Sélection GL TVQ"/>
      <sheetName val="ERVSommaire"/>
      <sheetName val="ERVRenseignementSupplémentaire"/>
      <sheetName val="ERVDetailParPériode"/>
      <sheetName val="ERVDetailParPériodeACorriger"/>
      <sheetName val="ERVDetailParFeuille"/>
      <sheetName val="ERVOperationFictiveTVQ"/>
      <sheetName val="ERVDetailInteretTVQ"/>
      <sheetName val="ERVDetailInteretMUN"/>
      <sheetName val="ERVDetailPenalite"/>
      <sheetName val="ERVRajOperationFictive"/>
      <sheetName val="ERVRajRenoncerInteret"/>
      <sheetName val="ERVProjetCotisationTVQ"/>
      <sheetName val="ERVProjetCotisationLTA"/>
      <sheetName val="ERVProjetCotisationMUN"/>
      <sheetName val="ERVSoldeCrediteur"/>
      <sheetName val="ERVSoldeCrediteurTVQ"/>
      <sheetName val="ERVConciliationCtirAnnexeC"/>
      <sheetName val="ERVRajRegroupementLTA"/>
      <sheetName val="J1TCADonnees"/>
      <sheetName val="ConciliationDétailléeTvqRti"/>
      <sheetName val="SommaireTvqRti"/>
      <sheetName val="ConciliationDétailléeTpsCti"/>
      <sheetName val="SommaireTpsCti"/>
      <sheetName val="J1TBJ2Donnees"/>
      <sheetName val="ListeDesRajustementsRegroupes"/>
      <sheetName val="Copie12PeriodesDeclTVQTPS"/>
      <sheetName val="ListeDesRajustementsNonValidés"/>
      <sheetName val="J1019ParamètresERV"/>
      <sheetName val="J1019TablFeuil"/>
      <sheetName val="J1019ModeleFeuilleVide"/>
      <sheetName val="Data ITW USA US$"/>
      <sheetName val="Rec GL"/>
      <sheetName val="Plan1"/>
      <sheetName val="DOSSIER"/>
      <sheetName val="TMEF - TMR 131"/>
      <sheetName val="Hoja3"/>
      <sheetName val="TMEF - TMR 151"/>
      <sheetName val="#¡REF"/>
      <sheetName val="FORMATED"/>
      <sheetName val="IS"/>
      <sheetName val="Bad_debts_GST_QST"/>
      <sheetName val="Créances_liste"/>
      <sheetName val="Sondage_radiation"/>
      <sheetName val="Section_400_401_QST"/>
      <sheetName val="QST_overpaid_DGN"/>
      <sheetName val="QST_from_DGN_2006"/>
      <sheetName val="QST_from_DGN_2005"/>
      <sheetName val="Documents_not_received_GST_QST"/>
      <sheetName val="Diff_GST_QST__returns"/>
      <sheetName val="Conc_JV_Taxes"/>
      <sheetName val="Sondage_ventes"/>
      <sheetName val="Sondage_ventes_fact__0$_taxes"/>
      <sheetName val="PDA_Escompte_2008"/>
      <sheetName val="GL_11285_TPS_Mtl_2005"/>
      <sheetName val="GL_11285_TPS_Mtl_2006"/>
      <sheetName val="GL_11285_TPS_Mtl_2007"/>
      <sheetName val="GL_11285_TPS_Mtl_2008"/>
      <sheetName val="Sondage_GL_TPS"/>
      <sheetName val="GL_11289_11292_TVQ_2008"/>
      <sheetName val="GL_11289_TVQ_2007"/>
      <sheetName val="GL_11292_Pst_Pay_Mtl_2006"/>
      <sheetName val="GL_11289_11292_TVQ_2005"/>
      <sheetName val="Sélection_GL_TVQ"/>
      <sheetName val="Data_ITW_USA_US$"/>
      <sheetName val="Rec_GL"/>
      <sheetName val="TMEF_-_TMR_131"/>
      <sheetName val="TMEF_-_TMR_151"/>
      <sheetName val="dep pre"/>
      <sheetName val="Bad_debts_GST_QST1"/>
      <sheetName val="Créances_liste1"/>
      <sheetName val="Sondage_radiation1"/>
      <sheetName val="Section_400_401_QST1"/>
      <sheetName val="QST_overpaid_DGN1"/>
      <sheetName val="QST_from_DGN_20061"/>
      <sheetName val="QST_from_DGN_20051"/>
      <sheetName val="Documents_not_received_GST_QST1"/>
      <sheetName val="Diff_GST_QST__returns1"/>
      <sheetName val="Conc_JV_Taxes1"/>
      <sheetName val="Sondage_ventes1"/>
      <sheetName val="Sondage_ventes_fact__0$_taxes1"/>
      <sheetName val="PDA_Escompte_20081"/>
      <sheetName val="GL_11285_TPS_Mtl_20051"/>
      <sheetName val="GL_11285_TPS_Mtl_20061"/>
      <sheetName val="GL_11285_TPS_Mtl_20071"/>
      <sheetName val="GL_11285_TPS_Mtl_20081"/>
      <sheetName val="Sondage_GL_TPS1"/>
      <sheetName val="GL_11289_11292_TVQ_20081"/>
      <sheetName val="GL_11289_TVQ_20071"/>
      <sheetName val="GL_11292_Pst_Pay_Mtl_20061"/>
      <sheetName val="GL_11289_11292_TVQ_20051"/>
      <sheetName val="Sélection_GL_TVQ1"/>
      <sheetName val="Data_ITW_USA_US$1"/>
      <sheetName val="Rec_GL1"/>
      <sheetName val="TMEF_-_TMR_1311"/>
      <sheetName val="TMEF_-_TMR_1511"/>
      <sheetName val="dep_pre"/>
      <sheetName val="Bad_debts_GST_QST2"/>
      <sheetName val="Créances_liste2"/>
      <sheetName val="Sondage_radiation2"/>
      <sheetName val="Section_400_401_QST2"/>
      <sheetName val="QST_overpaid_DGN2"/>
      <sheetName val="QST_from_DGN_20062"/>
      <sheetName val="QST_from_DGN_20052"/>
      <sheetName val="Documents_not_received_GST_QST2"/>
      <sheetName val="Diff_GST_QST__returns2"/>
      <sheetName val="Conc_JV_Taxes2"/>
      <sheetName val="Sondage_ventes2"/>
      <sheetName val="Sondage_ventes_fact__0$_taxes2"/>
      <sheetName val="PDA_Escompte_20082"/>
      <sheetName val="GL_11285_TPS_Mtl_20052"/>
      <sheetName val="GL_11285_TPS_Mtl_20062"/>
      <sheetName val="GL_11285_TPS_Mtl_20072"/>
      <sheetName val="GL_11285_TPS_Mtl_20082"/>
      <sheetName val="Sondage_GL_TPS2"/>
      <sheetName val="GL_11289_11292_TVQ_20082"/>
      <sheetName val="GL_11289_TVQ_20072"/>
      <sheetName val="GL_11292_Pst_Pay_Mtl_20062"/>
      <sheetName val="GL_11289_11292_TVQ_20052"/>
      <sheetName val="Sélection_GL_TVQ2"/>
      <sheetName val="Data_ITW_USA_US$2"/>
      <sheetName val="Rec_GL2"/>
      <sheetName val="TMEF_-_TMR_1312"/>
      <sheetName val="TMEF_-_TMR_1512"/>
      <sheetName val="dep_pre1"/>
      <sheetName val="Bad_debts_GST_QST3"/>
      <sheetName val="Créances_liste3"/>
      <sheetName val="Sondage_radiation3"/>
      <sheetName val="Section_400_401_QST3"/>
      <sheetName val="QST_overpaid_DGN3"/>
      <sheetName val="QST_from_DGN_20063"/>
      <sheetName val="QST_from_DGN_20053"/>
      <sheetName val="Documents_not_received_GST_QST3"/>
      <sheetName val="Diff_GST_QST__returns3"/>
      <sheetName val="Conc_JV_Taxes3"/>
      <sheetName val="Sondage_ventes3"/>
      <sheetName val="Sondage_ventes_fact__0$_taxes3"/>
      <sheetName val="PDA_Escompte_20083"/>
      <sheetName val="GL_11285_TPS_Mtl_20053"/>
      <sheetName val="GL_11285_TPS_Mtl_20063"/>
      <sheetName val="GL_11285_TPS_Mtl_20073"/>
      <sheetName val="GL_11285_TPS_Mtl_20083"/>
      <sheetName val="Sondage_GL_TPS3"/>
      <sheetName val="GL_11289_11292_TVQ_20083"/>
      <sheetName val="GL_11289_TVQ_20073"/>
      <sheetName val="GL_11292_Pst_Pay_Mtl_20063"/>
      <sheetName val="GL_11289_11292_TVQ_20053"/>
      <sheetName val="Sélection_GL_TVQ3"/>
      <sheetName val="Data_ITW_USA_US$3"/>
      <sheetName val="Rec_GL3"/>
      <sheetName val="TMEF_-_TMR_1313"/>
      <sheetName val="TMEF_-_TMR_1513"/>
      <sheetName val="dep_pre2"/>
      <sheetName val="Bad_debts_GST_QST4"/>
      <sheetName val="Créances_liste4"/>
      <sheetName val="Sondage_radiation4"/>
      <sheetName val="Section_400_401_QST4"/>
      <sheetName val="QST_overpaid_DGN4"/>
      <sheetName val="QST_from_DGN_20064"/>
      <sheetName val="QST_from_DGN_20054"/>
      <sheetName val="Documents_not_received_GST_QST4"/>
      <sheetName val="Diff_GST_QST__returns4"/>
      <sheetName val="Conc_JV_Taxes4"/>
      <sheetName val="Sondage_ventes4"/>
      <sheetName val="Sondage_ventes_fact__0$_taxes4"/>
      <sheetName val="PDA_Escompte_20084"/>
      <sheetName val="GL_11285_TPS_Mtl_20054"/>
      <sheetName val="GL_11285_TPS_Mtl_20064"/>
      <sheetName val="GL_11285_TPS_Mtl_20074"/>
      <sheetName val="GL_11285_TPS_Mtl_20084"/>
      <sheetName val="Sondage_GL_TPS4"/>
      <sheetName val="GL_11289_11292_TVQ_20084"/>
      <sheetName val="GL_11289_TVQ_20074"/>
      <sheetName val="GL_11292_Pst_Pay_Mtl_20064"/>
      <sheetName val="GL_11289_11292_TVQ_20054"/>
      <sheetName val="Sélection_GL_TVQ4"/>
      <sheetName val="Data_ITW_USA_US$4"/>
      <sheetName val="Rec_GL4"/>
      <sheetName val="TMEF_-_TMR_1314"/>
      <sheetName val="TMEF_-_TMR_1514"/>
      <sheetName val="dep_pre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 refreshError="1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falto"/>
      <sheetName val="Barras"/>
      <sheetName val="EXPLOT AGUA PVC"/>
      <sheetName val="IS Flex Parameter"/>
      <sheetName val="Nodes"/>
      <sheetName val="Control Panel"/>
      <sheetName val="EXPLOT_AGUA_PVC"/>
      <sheetName val="IS_Flex_Parameter"/>
      <sheetName val="Control_Panel"/>
      <sheetName val="EXPLOT_AGUA_PVC1"/>
      <sheetName val="IS_Flex_Parameter1"/>
      <sheetName val="Control_Panel1"/>
      <sheetName val="mn"/>
      <sheetName val="MI Working-Denis"/>
      <sheetName val="EXPLOT_AGUA_PVC2"/>
      <sheetName val="IS_Flex_Parameter2"/>
      <sheetName val="Control_Panel2"/>
      <sheetName val="ConciliationDétailléeTpsCti"/>
      <sheetName val="ConciliationDétailléeTvqRti"/>
      <sheetName val="EXPLOT_AGUA_PVC3"/>
      <sheetName val="IS_Flex_Parameter3"/>
      <sheetName val="Control_Panel3"/>
      <sheetName val="MI_Working-Denis"/>
      <sheetName val="EXPLOT_AGUA_PVC4"/>
      <sheetName val="IS_Flex_Parameter4"/>
      <sheetName val="Control_Panel4"/>
      <sheetName val="MI_Working-Denis1"/>
      <sheetName val="EXPLOT_AGUA_PVC5"/>
      <sheetName val="IS_Flex_Parameter5"/>
      <sheetName val="Control_Panel5"/>
      <sheetName val="MI_Working-Denis2"/>
      <sheetName val="Brazil Sovereign"/>
      <sheetName val="Media Spend Total"/>
      <sheetName val="Ch1&amp;3&amp;4"/>
      <sheetName val="IVA-DEC"/>
      <sheetName val="Brazil_Sovereign"/>
      <sheetName val="Media_Spend_Total"/>
      <sheetName val="Lookups"/>
      <sheetName val="Legend"/>
      <sheetName val="EXPLOT_AGUA_PVC6"/>
      <sheetName val="IS_Flex_Parameter6"/>
      <sheetName val="Control_Panel6"/>
      <sheetName val="MI_Working-Denis3"/>
      <sheetName val="Brazil_Sovereign1"/>
      <sheetName val="Media_Spend_Total1"/>
      <sheetName val="EXPLOT_AGUA_PVC7"/>
      <sheetName val="IS_Flex_Parameter7"/>
      <sheetName val="Control_Panel7"/>
      <sheetName val="MI_Working-Denis4"/>
      <sheetName val="Brazil_Sovereign2"/>
      <sheetName val="Media_Spend_Total2"/>
      <sheetName val="EXPLOT_AGUA_PVC8"/>
      <sheetName val="IS_Flex_Parameter8"/>
      <sheetName val="Control_Panel8"/>
      <sheetName val="MI_Working-Denis5"/>
      <sheetName val="EXPLOT_AGUA_PVC9"/>
      <sheetName val="IS_Flex_Parameter9"/>
      <sheetName val="Control_Panel9"/>
      <sheetName val="MI_Working-Denis6"/>
      <sheetName val="EXPLOT_AGUA_PVC10"/>
      <sheetName val="IS_Flex_Parameter10"/>
      <sheetName val="Control_Panel10"/>
      <sheetName val="MI_Working-Denis7"/>
      <sheetName val="Brazil_Sovereign3"/>
      <sheetName val="Media_Spend_Total3"/>
      <sheetName val="Rel_Histórico"/>
      <sheetName val="Lists"/>
      <sheetName val="EXPLOT_AGUA_PVC11"/>
      <sheetName val="IS_Flex_Parameter11"/>
      <sheetName val="Control_Panel11"/>
      <sheetName val="MI_Working-Denis8"/>
      <sheetName val="Brazil_Sovereign4"/>
      <sheetName val="Media_Spend_Total4"/>
      <sheetName val="Brazil_Sovereign5"/>
      <sheetName val="Media_Spend_Total5"/>
      <sheetName val="Brazil_Sovereign6"/>
      <sheetName val="Media_Spend_Total6"/>
      <sheetName val="EXPLOT_AGUA_PVC12"/>
      <sheetName val="IS_Flex_Parameter12"/>
      <sheetName val="Control_Panel12"/>
      <sheetName val="Brazil_Sovereign7"/>
      <sheetName val="Media_Spend_Total7"/>
      <sheetName val="MI_Working-Denis9"/>
      <sheetName val="EXPLOT_AGUA_PVC13"/>
      <sheetName val="IS_Flex_Parameter13"/>
      <sheetName val="Control_Panel13"/>
      <sheetName val="Brazil_Sovereign8"/>
      <sheetName val="Media_Spend_Total8"/>
      <sheetName val="MI_Working-Denis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/>
      <sheetData sheetId="15"/>
      <sheetData sheetId="16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uce "/>
      <sheetName val="DDJJ"/>
      <sheetName val="PG Cs.Sociales"/>
      <sheetName val="Remuneraciones"/>
      <sheetName val=" SAC-Bonus "/>
      <sheetName val="Vacaciones "/>
      <sheetName val="Cost Leadership Capex Div."/>
      <sheetName val="Cost Leadership Capex Inv."/>
      <sheetName val="prueba Rem y carg s"/>
      <sheetName val="RESUMEN"/>
      <sheetName val="Distribución C"/>
      <sheetName val="Hoja2"/>
      <sheetName val="XREF"/>
      <sheetName val="Cruce_"/>
      <sheetName val="PG_Cs_Sociales"/>
      <sheetName val="_SAC-Bonus_"/>
      <sheetName val="Vacaciones_"/>
      <sheetName val="Cost_Leadership_Capex_Div_"/>
      <sheetName val="Cost_Leadership_Capex_Inv_"/>
      <sheetName val="prueba_Rem_y_carg_s"/>
      <sheetName val="Distribución_C"/>
      <sheetName val="Share Price 2002"/>
      <sheetName val="Cruce_1"/>
      <sheetName val="PG_Cs_Sociales1"/>
      <sheetName val="_SAC-Bonus_1"/>
      <sheetName val="Vacaciones_1"/>
      <sheetName val="Cost_Leadership_Capex_Div_1"/>
      <sheetName val="Cost_Leadership_Capex_Inv_1"/>
      <sheetName val="prueba_Rem_y_carg_s1"/>
      <sheetName val="Distribución_C1"/>
      <sheetName val="Share_Price_2002"/>
      <sheetName val="Cruce_2"/>
      <sheetName val="PG_Cs_Sociales2"/>
      <sheetName val="_SAC-Bonus_2"/>
      <sheetName val="Vacaciones_2"/>
      <sheetName val="Cost_Leadership_Capex_Div_2"/>
      <sheetName val="Cost_Leadership_Capex_Inv_2"/>
      <sheetName val="prueba_Rem_y_carg_s2"/>
      <sheetName val="Distribución_C2"/>
      <sheetName val="Share_Price_20021"/>
      <sheetName val="Cruce_3"/>
      <sheetName val="PG_Cs_Sociales3"/>
      <sheetName val="_SAC-Bonus_3"/>
      <sheetName val="Vacaciones_3"/>
      <sheetName val="Cost_Leadership_Capex_Div_3"/>
      <sheetName val="Cost_Leadership_Capex_Inv_3"/>
      <sheetName val="prueba_Rem_y_carg_s3"/>
      <sheetName val="Distribución_C3"/>
      <sheetName val="Share_Price_20022"/>
      <sheetName val="Resumo de Movimentação"/>
      <sheetName val="Forecast"/>
      <sheetName val="Resumo_de_Movimentação"/>
      <sheetName val="JUNIO"/>
      <sheetName val="Resumo_de_Movimentação1"/>
      <sheetName val="Resumo_de_Movimentação2"/>
      <sheetName val="Resumo_de_Movimentação3"/>
      <sheetName val="Cruce_4"/>
      <sheetName val="PG_Cs_Sociales4"/>
      <sheetName val="_SAC-Bonus_4"/>
      <sheetName val="Vacaciones_4"/>
      <sheetName val="Cost_Leadership_Capex_Div_4"/>
      <sheetName val="Cost_Leadership_Capex_Inv_4"/>
      <sheetName val="prueba_Rem_y_carg_s4"/>
      <sheetName val="Distribución_C4"/>
      <sheetName val="Resumo_de_Movimentação4"/>
      <sheetName val="Cruce_5"/>
      <sheetName val="PG_Cs_Sociales5"/>
      <sheetName val="_SAC-Bonus_5"/>
      <sheetName val="Vacaciones_5"/>
      <sheetName val="Cost_Leadership_Capex_Div_5"/>
      <sheetName val="Cost_Leadership_Capex_Inv_5"/>
      <sheetName val="prueba_Rem_y_carg_s5"/>
      <sheetName val="Distribución_C5"/>
      <sheetName val="Share_Price_20023"/>
      <sheetName val="Resumo_de_Movimentação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mo"/>
      <sheetName val="DDJJ"/>
      <sheetName val="promovidos"/>
      <sheetName val="IVA a recuperar"/>
      <sheetName val="PG DF"/>
      <sheetName val="PG CF"/>
      <sheetName val="Umbral"/>
      <sheetName val="XREF"/>
      <sheetName val="Tickmarks"/>
      <sheetName val="536-100"/>
      <sheetName val="Remuneraciones"/>
      <sheetName val="PG Cs.Sociales"/>
      <sheetName val="Macro1"/>
      <sheetName val="VtasMayo-Jun"/>
      <sheetName val="Perda_Lata"/>
      <sheetName val="JUNIO"/>
      <sheetName val="Worksheet in 6411 Impuesto al V"/>
      <sheetName val="Hoja2"/>
      <sheetName val="Setup"/>
      <sheetName val="Ventas"/>
      <sheetName val="Cost Leadership Capex Div."/>
      <sheetName val="Cost Leadership Capex Inv."/>
      <sheetName val="PREMISAS"/>
      <sheetName val="Share Price 2002"/>
      <sheetName val="dep pre"/>
      <sheetName val="Hoja4"/>
      <sheetName val="Distribución C"/>
      <sheetName val="Retenciones a Pagar"/>
      <sheetName val="C90_NET"/>
      <sheetName val="Lista"/>
      <sheetName val="Packaging"/>
      <sheetName val="Assumptions"/>
      <sheetName val="Interdependent COUNTRY"/>
      <sheetName val="ETD"/>
      <sheetName val="Cons"/>
      <sheetName val="Tablas"/>
      <sheetName val="Sales"/>
      <sheetName val="Forecast"/>
      <sheetName val="LC"/>
      <sheetName val="LV"/>
      <sheetName val="IVA_a_recuperar"/>
      <sheetName val="PG_DF"/>
      <sheetName val="PG_CF"/>
      <sheetName val="PG_Cs_Sociales"/>
      <sheetName val="Worksheet_in_6411_Impuesto_al_V"/>
      <sheetName val="Cost_Leadership_Capex_Div_"/>
      <sheetName val="Cost_Leadership_Capex_Inv_"/>
      <sheetName val="Share_Price_2002"/>
      <sheetName val="dep_pre"/>
      <sheetName val="Distribución_C"/>
      <sheetName val="Retenciones_a_Pagar"/>
      <sheetName val="Interdependent_COUNTRY"/>
      <sheetName val="Input"/>
      <sheetName val="IVA_a_recuperar1"/>
      <sheetName val="PG_DF1"/>
      <sheetName val="PG_CF1"/>
      <sheetName val="PG_Cs_Sociales1"/>
      <sheetName val="Worksheet_in_6411_Impuesto_al_1"/>
      <sheetName val="Cost_Leadership_Capex_Div_1"/>
      <sheetName val="Cost_Leadership_Capex_Inv_1"/>
      <sheetName val="Share_Price_20021"/>
      <sheetName val="dep_pre1"/>
      <sheetName val="Distribución_C1"/>
      <sheetName val="Retenciones_a_Pagar1"/>
      <sheetName val="Interdependent_COUNTRY1"/>
      <sheetName val="2022 Core MICS"/>
      <sheetName val="Recon"/>
      <sheetName val="GIT recon"/>
      <sheetName val="Sheet1"/>
      <sheetName val="GCC"/>
      <sheetName val="ZONE"/>
      <sheetName val="RP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reshold Calc"/>
      <sheetName val="Memo"/>
      <sheetName val="DDJJ"/>
      <sheetName val="Cs.Sociales"/>
      <sheetName val="Remuneraciones"/>
      <sheetName val="SAC"/>
      <sheetName val="Vacaciones "/>
      <sheetName val="XREF"/>
      <sheetName val="Tickmarks"/>
      <sheetName val="PG DF"/>
      <sheetName val="PG Cs.Sociales"/>
      <sheetName val="VtasMayo-Jun"/>
      <sheetName val="JUNIO"/>
      <sheetName val="Cost Leadership Capex Inv."/>
      <sheetName val="Hoja2"/>
      <sheetName val="Share Price 2002"/>
      <sheetName val="Conciliaciones"/>
      <sheetName val="Ventas"/>
      <sheetName val="LIBRO COMPRAS PPC"/>
      <sheetName val="LPH e INCE"/>
      <sheetName val="II-Mov. GA"/>
      <sheetName val="Assumptions"/>
      <sheetName val="Threshold_Calc"/>
      <sheetName val="Cs_Sociales"/>
      <sheetName val="Vacaciones_"/>
      <sheetName val="PG_DF"/>
      <sheetName val="PG_Cs_Sociales"/>
      <sheetName val="Cost_Leadership_Capex_Inv_"/>
      <sheetName val="Share_Price_2002"/>
      <sheetName val="LIBRO_COMPRAS_PPC"/>
      <sheetName val="LPH_e_INCE"/>
      <sheetName val="II-Mov__GA"/>
      <sheetName val="Worksheet in 6220 Remuneracione"/>
      <sheetName val="ETD"/>
      <sheetName val="C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REF"/>
      <sheetName val="255102 Quinsa Sep-02"/>
      <sheetName val="PG DF"/>
      <sheetName val="DDJJ"/>
      <sheetName val="Eduardo"/>
      <sheetName val="Remuneraciones"/>
      <sheetName val="PG Cs.Sociales"/>
      <sheetName val="MSS_400K"/>
      <sheetName val="255102_Quinsa_Sep-02"/>
      <sheetName val="PG_DF"/>
      <sheetName val="PG_Cs_Sociales"/>
      <sheetName val="Forecast"/>
      <sheetName val="255102_Quinsa_Sep-021"/>
      <sheetName val="PG_DF1"/>
      <sheetName val="PG_Cs_Sociales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 refreshError="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Case vs Scenario"/>
      <sheetName val="Brand Allocation"/>
      <sheetName val="Assumption Summary"/>
      <sheetName val="Domestic Beer Volume Input"/>
      <sheetName val="Soda"/>
      <sheetName val="NPD"/>
      <sheetName val="Brand P&amp;L's (excl Import)"/>
      <sheetName val="Brand P&amp;L's (Imports)"/>
      <sheetName val="Below Net Contribution &amp; Adj"/>
      <sheetName val="Domestic"/>
      <sheetName val="Puerto Rico"/>
      <sheetName val="CDC"/>
      <sheetName val="PF03 values"/>
      <sheetName val="Scenario trends"/>
      <sheetName val="2002 FDM Data"/>
      <sheetName val="2001 data"/>
      <sheetName val="Contract Brewing"/>
      <sheetName val="Foster's Elimination"/>
      <sheetName val="Total Consolidated"/>
      <sheetName val="Imports"/>
      <sheetName val="COS"/>
      <sheetName val="DME"/>
      <sheetName val="Domestic SG&amp;A"/>
      <sheetName val="Integration Charges and Synergy"/>
      <sheetName val="EBITA waterfall"/>
      <sheetName val="Brand Mix"/>
      <sheetName val="Pricing Mix"/>
      <sheetName val="Cost Mix"/>
      <sheetName val="Package Mix"/>
      <sheetName val="Geo Mix"/>
      <sheetName val="SAPBEXqueries"/>
      <sheetName val="SAPBEXfilters"/>
      <sheetName val="Forecast"/>
      <sheetName val="Base_Case_vs_Scenario"/>
      <sheetName val="Brand_Allocation"/>
      <sheetName val="Assumption_Summary"/>
      <sheetName val="Domestic_Beer_Volume_Input"/>
      <sheetName val="Brand_P&amp;L's_(excl_Import)"/>
      <sheetName val="Brand_P&amp;L's_(Imports)"/>
      <sheetName val="Below_Net_Contribution_&amp;_Adj"/>
      <sheetName val="Puerto_Rico"/>
      <sheetName val="PF03_values"/>
      <sheetName val="Scenario_trends"/>
      <sheetName val="2002_FDM_Data"/>
      <sheetName val="2001_data"/>
      <sheetName val="Contract_Brewing"/>
      <sheetName val="Foster's_Elimination"/>
      <sheetName val="Total_Consolidated"/>
      <sheetName val="Domestic_SG&amp;A"/>
      <sheetName val="Integration_Charges_and_Synergy"/>
      <sheetName val="EBITA_waterfall"/>
      <sheetName val="Brand_Mix"/>
      <sheetName val="Pricing_Mix"/>
      <sheetName val="Cost_Mix"/>
      <sheetName val="Package_Mix"/>
      <sheetName val="Geo_Mix"/>
      <sheetName val="Base_Case_vs_Scenario1"/>
      <sheetName val="Brand_Allocation1"/>
      <sheetName val="Assumption_Summary1"/>
      <sheetName val="Domestic_Beer_Volume_Input1"/>
      <sheetName val="Brand_P&amp;L's_(excl_Import)1"/>
      <sheetName val="Brand_P&amp;L's_(Imports)1"/>
      <sheetName val="Below_Net_Contribution_&amp;_Adj1"/>
      <sheetName val="Puerto_Rico1"/>
      <sheetName val="PF03_values1"/>
      <sheetName val="Scenario_trends1"/>
      <sheetName val="2002_FDM_Data1"/>
      <sheetName val="2001_data1"/>
      <sheetName val="Contract_Brewing1"/>
      <sheetName val="Foster's_Elimination1"/>
      <sheetName val="Total_Consolidated1"/>
      <sheetName val="Domestic_SG&amp;A1"/>
      <sheetName val="Integration_Charges_and_Synerg1"/>
      <sheetName val="EBITA_waterfall1"/>
      <sheetName val="Brand_Mix1"/>
      <sheetName val="Pricing_Mix1"/>
      <sheetName val="Cost_Mix1"/>
      <sheetName val="Package_Mix1"/>
      <sheetName val="Geo_Mix1"/>
      <sheetName val="XREF"/>
      <sheetName val="Base_Case_vs_Scenario2"/>
      <sheetName val="Brand_Allocation2"/>
      <sheetName val="Assumption_Summary2"/>
      <sheetName val="Domestic_Beer_Volume_Input2"/>
      <sheetName val="Brand_P&amp;L's_(excl_Import)2"/>
      <sheetName val="Brand_P&amp;L's_(Imports)2"/>
      <sheetName val="Below_Net_Contribution_&amp;_Adj2"/>
      <sheetName val="Puerto_Rico2"/>
      <sheetName val="PF03_values2"/>
      <sheetName val="Scenario_trends2"/>
      <sheetName val="2002_FDM_Data2"/>
      <sheetName val="2001_data2"/>
      <sheetName val="Contract_Brewing2"/>
      <sheetName val="Foster's_Elimination2"/>
      <sheetName val="Total_Consolidated2"/>
      <sheetName val="Domestic_SG&amp;A2"/>
      <sheetName val="Integration_Charges_and_Synerg2"/>
      <sheetName val="EBITA_waterfall2"/>
      <sheetName val="Brand_Mix2"/>
      <sheetName val="Pricing_Mix2"/>
      <sheetName val="Cost_Mix2"/>
      <sheetName val="Package_Mix2"/>
      <sheetName val="Geo_Mix2"/>
      <sheetName val="Base_Case_vs_Scenario3"/>
      <sheetName val="Brand_Allocation3"/>
      <sheetName val="Assumption_Summary3"/>
      <sheetName val="Domestic_Beer_Volume_Input3"/>
      <sheetName val="Brand_P&amp;L's_(excl_Import)3"/>
      <sheetName val="Brand_P&amp;L's_(Imports)3"/>
      <sheetName val="Below_Net_Contribution_&amp;_Adj3"/>
      <sheetName val="Puerto_Rico3"/>
      <sheetName val="PF03_values3"/>
      <sheetName val="Scenario_trends3"/>
      <sheetName val="2002_FDM_Data3"/>
      <sheetName val="2001_data3"/>
      <sheetName val="Contract_Brewing3"/>
      <sheetName val="Foster's_Elimination3"/>
      <sheetName val="Total_Consolidated3"/>
      <sheetName val="Domestic_SG&amp;A3"/>
      <sheetName val="Integration_Charges_and_Synerg3"/>
      <sheetName val="EBITA_waterfall3"/>
      <sheetName val="Brand_Mix3"/>
      <sheetName val="Pricing_Mix3"/>
      <sheetName val="Cost_Mix3"/>
      <sheetName val="Package_Mix3"/>
      <sheetName val="Geo_Mix3"/>
      <sheetName val="Taxation"/>
      <sheetName val="FC-Bav"/>
      <sheetName val="Sheet2"/>
      <sheetName val="Base_Case_vs_Scenario4"/>
      <sheetName val="Brand_Allocation4"/>
      <sheetName val="Assumption_Summary4"/>
      <sheetName val="Domestic_Beer_Volume_Input4"/>
      <sheetName val="Brand_P&amp;L's_(excl_Import)4"/>
      <sheetName val="Brand_P&amp;L's_(Imports)4"/>
      <sheetName val="Below_Net_Contribution_&amp;_Adj4"/>
      <sheetName val="Puerto_Rico4"/>
      <sheetName val="PF03_values4"/>
      <sheetName val="Scenario_trends4"/>
      <sheetName val="2002_FDM_Data4"/>
      <sheetName val="2001_data4"/>
      <sheetName val="Contract_Brewing4"/>
      <sheetName val="Foster's_Elimination4"/>
      <sheetName val="Total_Consolidated4"/>
      <sheetName val="Domestic_SG&amp;A4"/>
      <sheetName val="Integration_Charges_and_Synerg4"/>
      <sheetName val="EBITA_waterfall4"/>
      <sheetName val="Brand_Mix4"/>
      <sheetName val="Pricing_Mix4"/>
      <sheetName val="Cost_Mix4"/>
      <sheetName val="Package_Mix4"/>
      <sheetName val="Geo_Mix4"/>
      <sheetName val="Base_Case_vs_Scenario5"/>
      <sheetName val="Brand_Allocation5"/>
      <sheetName val="Assumption_Summary5"/>
      <sheetName val="Domestic_Beer_Volume_Input5"/>
      <sheetName val="Brand_P&amp;L's_(excl_Import)5"/>
      <sheetName val="Brand_P&amp;L's_(Imports)5"/>
      <sheetName val="Below_Net_Contribution_&amp;_Adj5"/>
      <sheetName val="Puerto_Rico5"/>
      <sheetName val="PF03_values5"/>
      <sheetName val="Scenario_trends5"/>
      <sheetName val="2002_FDM_Data5"/>
      <sheetName val="2001_data5"/>
      <sheetName val="Contract_Brewing5"/>
      <sheetName val="Foster's_Elimination5"/>
      <sheetName val="Total_Consolidated5"/>
      <sheetName val="Domestic_SG&amp;A5"/>
      <sheetName val="Integration_Charges_and_Synerg5"/>
      <sheetName val="EBITA_waterfall5"/>
      <sheetName val="Brand_Mix5"/>
      <sheetName val="Pricing_Mix5"/>
      <sheetName val="Cost_Mix5"/>
      <sheetName val="Package_Mix5"/>
      <sheetName val="Geo_Mix5"/>
      <sheetName val="Base_Case_vs_Scenario6"/>
      <sheetName val="Brand_Allocation6"/>
      <sheetName val="Assumption_Summary6"/>
      <sheetName val="Domestic_Beer_Volume_Input6"/>
      <sheetName val="Brand_P&amp;L's_(excl_Import)6"/>
      <sheetName val="Brand_P&amp;L's_(Imports)6"/>
      <sheetName val="Below_Net_Contribution_&amp;_Adj6"/>
      <sheetName val="Puerto_Rico6"/>
      <sheetName val="PF03_values6"/>
      <sheetName val="Scenario_trends6"/>
      <sheetName val="2002_FDM_Data6"/>
      <sheetName val="2001_data6"/>
      <sheetName val="Contract_Brewing6"/>
      <sheetName val="Foster's_Elimination6"/>
      <sheetName val="Total_Consolidated6"/>
      <sheetName val="Domestic_SG&amp;A6"/>
      <sheetName val="Integration_Charges_and_Synerg6"/>
      <sheetName val="EBITA_waterfall6"/>
      <sheetName val="Brand_Mix6"/>
      <sheetName val="Pricing_Mix6"/>
      <sheetName val="Cost_Mix6"/>
      <sheetName val="Package_Mix6"/>
      <sheetName val="Geo_Mix6"/>
      <sheetName val="Base_Case_vs_Scenario7"/>
      <sheetName val="Brand_Allocation7"/>
      <sheetName val="Assumption_Summary7"/>
      <sheetName val="Domestic_Beer_Volume_Input7"/>
      <sheetName val="Brand_P&amp;L's_(excl_Import)7"/>
      <sheetName val="Brand_P&amp;L's_(Imports)7"/>
      <sheetName val="Below_Net_Contribution_&amp;_Adj7"/>
      <sheetName val="Puerto_Rico7"/>
      <sheetName val="PF03_values7"/>
      <sheetName val="Scenario_trends7"/>
      <sheetName val="2002_FDM_Data7"/>
      <sheetName val="2001_data7"/>
      <sheetName val="Contract_Brewing7"/>
      <sheetName val="Foster's_Elimination7"/>
      <sheetName val="Total_Consolidated7"/>
      <sheetName val="Domestic_SG&amp;A7"/>
      <sheetName val="Integration_Charges_and_Synerg7"/>
      <sheetName val="EBITA_waterfall7"/>
      <sheetName val="Brand_Mix7"/>
      <sheetName val="Pricing_Mix7"/>
      <sheetName val="Cost_Mix7"/>
      <sheetName val="Package_Mix7"/>
      <sheetName val="Geo_Mix7"/>
      <sheetName val="Base_Case_vs_Scenario8"/>
      <sheetName val="Brand_Allocation8"/>
      <sheetName val="Assumption_Summary8"/>
      <sheetName val="Domestic_Beer_Volume_Input8"/>
      <sheetName val="Brand_P&amp;L's_(excl_Import)8"/>
      <sheetName val="Brand_P&amp;L's_(Imports)8"/>
      <sheetName val="Below_Net_Contribution_&amp;_Adj8"/>
      <sheetName val="Puerto_Rico8"/>
      <sheetName val="PF03_values8"/>
      <sheetName val="Scenario_trends8"/>
      <sheetName val="2002_FDM_Data8"/>
      <sheetName val="2001_data8"/>
      <sheetName val="Contract_Brewing8"/>
      <sheetName val="Foster's_Elimination8"/>
      <sheetName val="Total_Consolidated8"/>
      <sheetName val="Domestic_SG&amp;A8"/>
      <sheetName val="Integration_Charges_and_Synerg8"/>
      <sheetName val="EBITA_waterfall8"/>
      <sheetName val="Brand_Mix8"/>
      <sheetName val="Pricing_Mix8"/>
      <sheetName val="Cost_Mix8"/>
      <sheetName val="Package_Mix8"/>
      <sheetName val="Geo_Mix8"/>
      <sheetName val="Base_Case_vs_Scenario9"/>
      <sheetName val="Brand_Allocation9"/>
      <sheetName val="Assumption_Summary9"/>
      <sheetName val="Domestic_Beer_Volume_Input9"/>
      <sheetName val="Brand_P&amp;L's_(excl_Import)9"/>
      <sheetName val="Brand_P&amp;L's_(Imports)9"/>
      <sheetName val="Below_Net_Contribution_&amp;_Adj9"/>
      <sheetName val="Puerto_Rico9"/>
      <sheetName val="PF03_values9"/>
      <sheetName val="Scenario_trends9"/>
      <sheetName val="2002_FDM_Data9"/>
      <sheetName val="2001_data9"/>
      <sheetName val="Contract_Brewing9"/>
      <sheetName val="Foster's_Elimination9"/>
      <sheetName val="Total_Consolidated9"/>
      <sheetName val="Domestic_SG&amp;A9"/>
      <sheetName val="Integration_Charges_and_Synerg9"/>
      <sheetName val="EBITA_waterfall9"/>
      <sheetName val="Brand_Mix9"/>
      <sheetName val="Pricing_Mix9"/>
      <sheetName val="Cost_Mix9"/>
      <sheetName val="Package_Mix9"/>
      <sheetName val="Geo_Mix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 refreshError="1"/>
      <sheetData sheetId="127" refreshError="1"/>
      <sheetData sheetId="128" refreshError="1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0000"/>
      <sheetName val="Change Log"/>
      <sheetName val="Instructions"/>
      <sheetName val="Stoplights"/>
      <sheetName val="XCurrMonthSumm"/>
      <sheetName val="FY 2008 -Actual"/>
      <sheetName val="actual download"/>
      <sheetName val="FY 2008-OB"/>
      <sheetName val="FY 2007- Actual"/>
      <sheetName val="FY 2008-PF1"/>
      <sheetName val="FY 2008-PF2"/>
      <sheetName val="MO P&amp;L var"/>
      <sheetName val="MO P&amp;L-BBL"/>
      <sheetName val="YTD P&amp;L var "/>
      <sheetName val="YTD P&amp;L BBL"/>
      <sheetName val="MO vs PF2 expl"/>
      <sheetName val="YTD vs PF2 expl"/>
      <sheetName val="MO vs PY expl"/>
      <sheetName val="YTD vs PY expl"/>
      <sheetName val="YTD Segment PF2"/>
      <sheetName val="YTD Segment PF2 per BBL"/>
      <sheetName val="YTD Segment PY"/>
      <sheetName val="YTD Segment PY per BBL"/>
      <sheetName val="MO Segment PF2"/>
      <sheetName val="MO Segment PY"/>
      <sheetName val="Segmental Input"/>
      <sheetName val="Contract Input"/>
      <sheetName val="ExCom KPI's"/>
      <sheetName val="Domestic"/>
      <sheetName val="Change_Log"/>
      <sheetName val="FY_2008_-Actual"/>
      <sheetName val="actual_download"/>
      <sheetName val="FY_2008-OB"/>
      <sheetName val="FY_2007-_Actual"/>
      <sheetName val="FY_2008-PF1"/>
      <sheetName val="FY_2008-PF2"/>
      <sheetName val="MO_P&amp;L_var"/>
      <sheetName val="MO_P&amp;L-BBL"/>
      <sheetName val="YTD_P&amp;L_var_"/>
      <sheetName val="YTD_P&amp;L_BBL"/>
      <sheetName val="MO_vs_PF2_expl"/>
      <sheetName val="YTD_vs_PF2_expl"/>
      <sheetName val="MO_vs_PY_expl"/>
      <sheetName val="YTD_vs_PY_expl"/>
      <sheetName val="YTD_Segment_PF2"/>
      <sheetName val="YTD_Segment_PF2_per_BBL"/>
      <sheetName val="YTD_Segment_PY"/>
      <sheetName val="YTD_Segment_PY_per_BBL"/>
      <sheetName val="MO_Segment_PF2"/>
      <sheetName val="MO_Segment_PY"/>
      <sheetName val="Segmental_Input"/>
      <sheetName val="Contract_Input"/>
      <sheetName val="ExCom_KPI's"/>
      <sheetName val="Change_Log1"/>
      <sheetName val="FY_2008_-Actual1"/>
      <sheetName val="actual_download1"/>
      <sheetName val="FY_2008-OB1"/>
      <sheetName val="FY_2007-_Actual1"/>
      <sheetName val="FY_2008-PF11"/>
      <sheetName val="FY_2008-PF21"/>
      <sheetName val="MO_P&amp;L_var1"/>
      <sheetName val="MO_P&amp;L-BBL1"/>
      <sheetName val="YTD_P&amp;L_var_1"/>
      <sheetName val="YTD_P&amp;L_BBL1"/>
      <sheetName val="MO_vs_PF2_expl1"/>
      <sheetName val="YTD_vs_PF2_expl1"/>
      <sheetName val="MO_vs_PY_expl1"/>
      <sheetName val="YTD_vs_PY_expl1"/>
      <sheetName val="YTD_Segment_PF21"/>
      <sheetName val="YTD_Segment_PF2_per_BBL1"/>
      <sheetName val="YTD_Segment_PY1"/>
      <sheetName val="YTD_Segment_PY_per_BBL1"/>
      <sheetName val="MO_Segment_PF21"/>
      <sheetName val="MO_Segment_PY1"/>
      <sheetName val="Segmental_Input1"/>
      <sheetName val="Contract_Input1"/>
      <sheetName val="ExCom_KPI's1"/>
      <sheetName val="Change_Log2"/>
      <sheetName val="FY_2008_-Actual2"/>
      <sheetName val="actual_download2"/>
      <sheetName val="FY_2008-OB2"/>
      <sheetName val="FY_2007-_Actual2"/>
      <sheetName val="FY_2008-PF12"/>
      <sheetName val="FY_2008-PF22"/>
      <sheetName val="MO_P&amp;L_var2"/>
      <sheetName val="MO_P&amp;L-BBL2"/>
      <sheetName val="YTD_P&amp;L_var_2"/>
      <sheetName val="YTD_P&amp;L_BBL2"/>
      <sheetName val="MO_vs_PF2_expl2"/>
      <sheetName val="YTD_vs_PF2_expl2"/>
      <sheetName val="MO_vs_PY_expl2"/>
      <sheetName val="YTD_vs_PY_expl2"/>
      <sheetName val="YTD_Segment_PF22"/>
      <sheetName val="YTD_Segment_PF2_per_BBL2"/>
      <sheetName val="YTD_Segment_PY2"/>
      <sheetName val="YTD_Segment_PY_per_BBL2"/>
      <sheetName val="MO_Segment_PF22"/>
      <sheetName val="MO_Segment_PY2"/>
      <sheetName val="Segmental_Input2"/>
      <sheetName val="Contract_Input2"/>
      <sheetName val="ExCom_KPI's2"/>
      <sheetName val="Change_Log3"/>
      <sheetName val="FY_2008_-Actual3"/>
      <sheetName val="actual_download3"/>
      <sheetName val="FY_2008-OB3"/>
      <sheetName val="FY_2007-_Actual3"/>
      <sheetName val="FY_2008-PF13"/>
      <sheetName val="FY_2008-PF23"/>
      <sheetName val="MO_P&amp;L_var3"/>
      <sheetName val="MO_P&amp;L-BBL3"/>
      <sheetName val="YTD_P&amp;L_var_3"/>
      <sheetName val="YTD_P&amp;L_BBL3"/>
      <sheetName val="MO_vs_PF2_expl3"/>
      <sheetName val="YTD_vs_PF2_expl3"/>
      <sheetName val="MO_vs_PY_expl3"/>
      <sheetName val="YTD_vs_PY_expl3"/>
      <sheetName val="YTD_Segment_PF23"/>
      <sheetName val="YTD_Segment_PF2_per_BBL3"/>
      <sheetName val="YTD_Segment_PY3"/>
      <sheetName val="YTD_Segment_PY_per_BBL3"/>
      <sheetName val="MO_Segment_PF23"/>
      <sheetName val="MO_Segment_PY3"/>
      <sheetName val="Segmental_Input3"/>
      <sheetName val="Contract_Input3"/>
      <sheetName val="ExCom_KPI's3"/>
      <sheetName val="Change_Log4"/>
      <sheetName val="FY_2008_-Actual4"/>
      <sheetName val="actual_download4"/>
      <sheetName val="FY_2008-OB4"/>
      <sheetName val="FY_2007-_Actual4"/>
      <sheetName val="FY_2008-PF14"/>
      <sheetName val="FY_2008-PF24"/>
      <sheetName val="MO_P&amp;L_var4"/>
      <sheetName val="MO_P&amp;L-BBL4"/>
      <sheetName val="YTD_P&amp;L_var_4"/>
      <sheetName val="YTD_P&amp;L_BBL4"/>
      <sheetName val="MO_vs_PF2_expl4"/>
      <sheetName val="YTD_vs_PF2_expl4"/>
      <sheetName val="MO_vs_PY_expl4"/>
      <sheetName val="YTD_vs_PY_expl4"/>
      <sheetName val="YTD_Segment_PF24"/>
      <sheetName val="YTD_Segment_PF2_per_BBL4"/>
      <sheetName val="YTD_Segment_PY4"/>
      <sheetName val="YTD_Segment_PY_per_BBL4"/>
      <sheetName val="MO_Segment_PF24"/>
      <sheetName val="MO_Segment_PY4"/>
      <sheetName val="Segmental_Input4"/>
      <sheetName val="Contract_Input4"/>
      <sheetName val="ExCom_KPI's4"/>
      <sheetName val="Taxation"/>
      <sheetName val="Change_Log5"/>
      <sheetName val="FY_2008_-Actual5"/>
      <sheetName val="actual_download5"/>
      <sheetName val="FY_2008-OB5"/>
      <sheetName val="FY_2007-_Actual5"/>
      <sheetName val="FY_2008-PF15"/>
      <sheetName val="FY_2008-PF25"/>
      <sheetName val="MO_P&amp;L_var5"/>
      <sheetName val="MO_P&amp;L-BBL5"/>
      <sheetName val="YTD_P&amp;L_var_5"/>
      <sheetName val="YTD_P&amp;L_BBL5"/>
      <sheetName val="MO_vs_PF2_expl5"/>
      <sheetName val="YTD_vs_PF2_expl5"/>
      <sheetName val="MO_vs_PY_expl5"/>
      <sheetName val="YTD_vs_PY_expl5"/>
      <sheetName val="YTD_Segment_PF25"/>
      <sheetName val="YTD_Segment_PF2_per_BBL5"/>
      <sheetName val="YTD_Segment_PY5"/>
      <sheetName val="YTD_Segment_PY_per_BBL5"/>
      <sheetName val="MO_Segment_PF25"/>
      <sheetName val="MO_Segment_PY5"/>
      <sheetName val="Segmental_Input5"/>
      <sheetName val="Contract_Input5"/>
      <sheetName val="ExCom_KPI's5"/>
      <sheetName val="Change_Log6"/>
      <sheetName val="FY_2008_-Actual6"/>
      <sheetName val="actual_download6"/>
      <sheetName val="FY_2008-OB6"/>
      <sheetName val="FY_2007-_Actual6"/>
      <sheetName val="FY_2008-PF16"/>
      <sheetName val="FY_2008-PF26"/>
      <sheetName val="MO_P&amp;L_var6"/>
      <sheetName val="MO_P&amp;L-BBL6"/>
      <sheetName val="YTD_P&amp;L_var_6"/>
      <sheetName val="YTD_P&amp;L_BBL6"/>
      <sheetName val="MO_vs_PF2_expl6"/>
      <sheetName val="YTD_vs_PF2_expl6"/>
      <sheetName val="MO_vs_PY_expl6"/>
      <sheetName val="YTD_vs_PY_expl6"/>
      <sheetName val="YTD_Segment_PF26"/>
      <sheetName val="YTD_Segment_PF2_per_BBL6"/>
      <sheetName val="YTD_Segment_PY6"/>
      <sheetName val="YTD_Segment_PY_per_BBL6"/>
      <sheetName val="MO_Segment_PF26"/>
      <sheetName val="MO_Segment_PY6"/>
      <sheetName val="Segmental_Input6"/>
      <sheetName val="Contract_Input6"/>
      <sheetName val="ExCom_KPI's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 refreshError="1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marquettilucas/Portfolio" TargetMode="External"/><Relationship Id="rId1" Type="http://schemas.openxmlformats.org/officeDocument/2006/relationships/hyperlink" Target="https://www.linkedin.com/in/lucasmarquetti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C6EF5-C69B-484A-905D-8E9AF4DE6530}">
  <sheetPr codeName="Sheet1"/>
  <dimension ref="A1:J28"/>
  <sheetViews>
    <sheetView showGridLines="0" tabSelected="1" zoomScale="76" zoomScaleNormal="76" zoomScaleSheetLayoutView="64" workbookViewId="0">
      <selection activeCell="B1" sqref="B1"/>
    </sheetView>
  </sheetViews>
  <sheetFormatPr defaultColWidth="12.44140625" defaultRowHeight="13.2"/>
  <cols>
    <col min="1" max="1" width="9.77734375" customWidth="1"/>
    <col min="2" max="2" width="23.5546875" customWidth="1"/>
    <col min="10" max="10" width="9.77734375" customWidth="1"/>
  </cols>
  <sheetData>
    <row r="1" spans="1:10" s="56" customFormat="1" ht="15">
      <c r="A1" s="55"/>
      <c r="B1" s="55"/>
      <c r="C1" s="55"/>
      <c r="D1" s="55"/>
      <c r="E1" s="55"/>
      <c r="F1" s="55"/>
      <c r="G1" s="55"/>
      <c r="H1" s="55"/>
      <c r="I1" s="55"/>
      <c r="J1" s="55"/>
    </row>
    <row r="2" spans="1:10" s="56" customFormat="1" ht="15"/>
    <row r="3" spans="1:10" s="56" customFormat="1" ht="15"/>
    <row r="4" spans="1:10" s="56" customFormat="1" ht="30">
      <c r="B4" s="65" t="s">
        <v>81</v>
      </c>
      <c r="D4" s="57"/>
    </row>
    <row r="5" spans="1:10" s="56" customFormat="1" ht="20.399999999999999">
      <c r="B5" s="65" t="s">
        <v>82</v>
      </c>
    </row>
    <row r="6" spans="1:10" s="56" customFormat="1" ht="10.050000000000001" customHeight="1">
      <c r="D6" s="59"/>
    </row>
    <row r="7" spans="1:10" s="56" customFormat="1" ht="15">
      <c r="G7" s="60"/>
    </row>
    <row r="8" spans="1:10" s="56" customFormat="1" ht="15"/>
    <row r="9" spans="1:10" s="56" customFormat="1" ht="15"/>
    <row r="10" spans="1:10" s="56" customFormat="1" ht="30">
      <c r="B10" s="61"/>
    </row>
    <row r="11" spans="1:10" s="56" customFormat="1" ht="17.399999999999999">
      <c r="B11" s="62"/>
      <c r="C11" s="62"/>
      <c r="D11" s="62"/>
    </row>
    <row r="12" spans="1:10" s="56" customFormat="1" ht="45">
      <c r="B12" s="199" t="s">
        <v>63</v>
      </c>
      <c r="C12" s="133"/>
    </row>
    <row r="13" spans="1:10" s="56" customFormat="1" ht="20.100000000000001" customHeight="1">
      <c r="B13" s="131">
        <f>model_date</f>
        <v>45607</v>
      </c>
      <c r="C13" s="132"/>
      <c r="D13" s="62"/>
    </row>
    <row r="14" spans="1:10" s="56" customFormat="1" ht="15"/>
    <row r="15" spans="1:10" s="56" customFormat="1" ht="15.9" customHeight="1"/>
    <row r="16" spans="1:10" s="56" customFormat="1" ht="15"/>
    <row r="17" spans="1:10" s="56" customFormat="1" ht="15"/>
    <row r="18" spans="1:10" s="56" customFormat="1" ht="15"/>
    <row r="19" spans="1:10" s="56" customFormat="1" ht="15"/>
    <row r="20" spans="1:10" s="56" customFormat="1" ht="15"/>
    <row r="21" spans="1:10" s="56" customFormat="1" ht="15"/>
    <row r="22" spans="1:10" s="56" customFormat="1" ht="15"/>
    <row r="23" spans="1:10" s="56" customFormat="1" ht="17.399999999999999">
      <c r="B23" s="130" t="s">
        <v>7</v>
      </c>
    </row>
    <row r="24" spans="1:10" s="56" customFormat="1" ht="18.899999999999999" customHeight="1">
      <c r="B24" s="80" t="s">
        <v>316</v>
      </c>
      <c r="D24" s="63"/>
      <c r="H24"/>
    </row>
    <row r="25" spans="1:10" s="56" customFormat="1" ht="18.899999999999999" customHeight="1">
      <c r="B25" s="80" t="s">
        <v>317</v>
      </c>
      <c r="D25" s="58"/>
    </row>
    <row r="26" spans="1:10" s="56" customFormat="1" ht="15"/>
    <row r="27" spans="1:10" s="56" customFormat="1" ht="15"/>
    <row r="28" spans="1:10" s="56" customFormat="1" ht="15.6" thickBot="1">
      <c r="A28" s="64"/>
      <c r="B28" s="64"/>
      <c r="C28" s="64"/>
      <c r="D28" s="64"/>
      <c r="E28" s="64"/>
      <c r="F28" s="64"/>
      <c r="G28" s="64"/>
      <c r="H28" s="64"/>
      <c r="I28" s="64"/>
      <c r="J28" s="64"/>
    </row>
  </sheetData>
  <hyperlinks>
    <hyperlink ref="B23" r:id="rId1" display="https://www.linkedin.com/in/lucasmarquetti/" xr:uid="{83F21403-ABB2-4CF5-8DDB-B0D4BB9DA746}"/>
    <hyperlink ref="B24" r:id="rId2" xr:uid="{DD45E568-4127-451D-9A64-9E0B97DEE56D}"/>
  </hyperlinks>
  <printOptions horizontalCentered="1" verticalCentered="1"/>
  <pageMargins left="0.11811023622047245" right="0.11811023622047245" top="0.39370078740157483" bottom="0.39370078740157483" header="0.11811023622047245" footer="0.11811023622047245"/>
  <pageSetup paperSize="9" orientation="landscape" r:id="rId3"/>
  <headerFooter>
    <oddFooter xml:space="preserve">&amp;L&amp;A&amp;CPágina &amp;P de &amp;N &amp;R&amp;D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46440-F2A9-442F-8ECA-23751A758A78}">
  <sheetPr codeName="Sheet2"/>
  <dimension ref="B1:AO66"/>
  <sheetViews>
    <sheetView showGridLines="0" tabSelected="1" zoomScale="134" zoomScaleNormal="100" workbookViewId="0">
      <selection activeCell="B1" sqref="B1"/>
    </sheetView>
  </sheetViews>
  <sheetFormatPr defaultColWidth="10.6640625" defaultRowHeight="13.2"/>
  <cols>
    <col min="1" max="1" width="2.5546875" style="213" customWidth="1"/>
    <col min="2" max="2" width="4.6640625" style="213" customWidth="1"/>
    <col min="3" max="4" width="1.6640625" style="213" customWidth="1"/>
    <col min="5" max="5" width="20.6640625" style="213" customWidth="1"/>
    <col min="6" max="6" width="14.33203125" style="213" customWidth="1"/>
    <col min="7" max="7" width="1.88671875" style="213" customWidth="1"/>
    <col min="8" max="11" width="10.77734375" style="213" customWidth="1"/>
    <col min="12" max="15" width="11.6640625" style="213" bestFit="1" customWidth="1"/>
    <col min="16" max="16" width="1.6640625" style="213" customWidth="1"/>
    <col min="17" max="17" width="4.6640625" style="213" customWidth="1"/>
    <col min="18" max="18" width="2.6640625" style="213" customWidth="1"/>
    <col min="19" max="26" width="2.6640625" style="213" hidden="1" customWidth="1"/>
    <col min="27" max="27" width="2.5546875" style="213" customWidth="1"/>
    <col min="28" max="28" width="4.6640625" style="213" customWidth="1"/>
    <col min="29" max="30" width="1.6640625" style="213" customWidth="1"/>
    <col min="31" max="31" width="20.6640625" style="213" customWidth="1"/>
    <col min="32" max="32" width="9.77734375" style="213" bestFit="1" customWidth="1"/>
    <col min="33" max="33" width="1.88671875" style="213" customWidth="1"/>
    <col min="34" max="38" width="10.77734375" style="213" customWidth="1"/>
    <col min="39" max="41" width="11.6640625" style="213" bestFit="1" customWidth="1"/>
    <col min="42" max="42" width="1.6640625" style="213" customWidth="1"/>
    <col min="43" max="43" width="4.6640625" style="213" customWidth="1"/>
    <col min="44" max="44" width="11.6640625" style="213" bestFit="1" customWidth="1"/>
    <col min="45" max="16384" width="10.6640625" style="213"/>
  </cols>
  <sheetData>
    <row r="1" spans="2:41" ht="22.65" customHeight="1">
      <c r="B1" s="210" t="str">
        <f>TITLE</f>
        <v>AMBEV</v>
      </c>
      <c r="C1" s="211"/>
      <c r="D1" s="211"/>
      <c r="E1" s="211"/>
      <c r="F1" s="211"/>
      <c r="G1" s="211"/>
      <c r="H1" s="212"/>
      <c r="I1" s="212"/>
      <c r="J1" s="212"/>
      <c r="K1" s="212"/>
      <c r="L1" s="212"/>
      <c r="M1" s="212"/>
      <c r="N1" s="212"/>
      <c r="O1" s="212"/>
      <c r="P1" s="212"/>
      <c r="Q1" s="212"/>
      <c r="AB1" s="211"/>
      <c r="AC1" s="211"/>
      <c r="AD1" s="211"/>
      <c r="AE1" s="211"/>
      <c r="AF1" s="212"/>
      <c r="AG1" s="212"/>
      <c r="AH1" s="212"/>
      <c r="AI1" s="212"/>
      <c r="AJ1" s="212"/>
      <c r="AK1" s="212"/>
      <c r="AL1" s="212"/>
      <c r="AM1" s="212"/>
    </row>
    <row r="2" spans="2:41" ht="17.399999999999999">
      <c r="B2" s="214" t="s">
        <v>167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</row>
    <row r="3" spans="2:41" ht="3" customHeight="1" thickBot="1"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AA3"/>
      <c r="AB3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  <c r="AN3" s="215"/>
      <c r="AO3" s="215"/>
    </row>
    <row r="4" spans="2:41" ht="15" customHeight="1">
      <c r="C4" s="217"/>
      <c r="D4" s="218"/>
      <c r="E4" s="218"/>
      <c r="F4" s="218"/>
      <c r="G4" s="218"/>
      <c r="H4" s="216"/>
      <c r="I4" s="216"/>
      <c r="J4" s="216"/>
      <c r="K4" s="216"/>
      <c r="L4" s="216"/>
      <c r="M4" s="216"/>
      <c r="N4" s="216"/>
      <c r="O4" s="216"/>
      <c r="P4" s="216"/>
      <c r="AA4"/>
      <c r="AB4"/>
      <c r="AC4" s="218"/>
      <c r="AD4" s="218"/>
      <c r="AE4" s="218"/>
      <c r="AF4" s="216"/>
      <c r="AG4" s="216"/>
      <c r="AH4" s="216"/>
      <c r="AI4" s="216"/>
      <c r="AJ4" s="216"/>
      <c r="AK4" s="216"/>
      <c r="AL4" s="216"/>
      <c r="AM4" s="216"/>
    </row>
    <row r="5" spans="2:41" customFormat="1" ht="15" customHeight="1">
      <c r="B5" s="213"/>
      <c r="C5" s="226" t="s">
        <v>163</v>
      </c>
      <c r="D5" s="226"/>
      <c r="E5" s="226"/>
      <c r="F5" s="226"/>
      <c r="G5" s="226"/>
      <c r="H5" s="255" t="s">
        <v>313</v>
      </c>
      <c r="I5" s="255"/>
      <c r="J5" s="255"/>
      <c r="K5" s="255"/>
      <c r="L5" s="255"/>
      <c r="M5" s="255"/>
      <c r="N5" s="255"/>
      <c r="O5" s="255"/>
      <c r="P5" s="255"/>
      <c r="Q5" s="213"/>
      <c r="R5" s="213"/>
      <c r="S5" s="213"/>
      <c r="T5" s="213"/>
      <c r="U5" s="213"/>
      <c r="V5" s="213"/>
      <c r="W5" s="213"/>
      <c r="X5" s="213"/>
      <c r="Y5" s="213"/>
      <c r="Z5" s="213"/>
      <c r="AC5" s="259" t="str">
        <f>"RESULTADOS - CENÁRIO "&amp;UPPER(CENARIOS!D8)</f>
        <v>RESULTADOS - CENÁRIO BASE</v>
      </c>
      <c r="AD5" s="217"/>
      <c r="AE5" s="217"/>
      <c r="AF5" s="217"/>
      <c r="AH5" s="253" t="str">
        <f xml:space="preserve"> " Valor de Mercado: " &amp; TEXT(VALUATION!F62, "#.##0") &amp;  "     Preço Alvo: " &amp; TEXT(VALUATION!F55, "R$ 0,00") &amp;  "     Upside: " &amp; TEXT(VALUATION!F68, "0,00%") &amp;  "     Taxa Interna de Retorno: " &amp; TEXT(VALUATION!F69, "0,00%")</f>
        <v xml:space="preserve"> Valor de Mercado: 206.413     Preço Alvo: R$ 13,10     Upside: 4,13%     Taxa Interna de Retorno: 16,07%</v>
      </c>
      <c r="AI5" s="253"/>
      <c r="AJ5" s="253"/>
      <c r="AK5" s="253"/>
      <c r="AL5" s="253"/>
      <c r="AM5" s="253"/>
      <c r="AN5" s="253"/>
      <c r="AO5" s="253"/>
    </row>
    <row r="6" spans="2:41" ht="4.95" customHeight="1">
      <c r="C6" s="217"/>
      <c r="D6" s="218"/>
      <c r="E6" s="218"/>
      <c r="F6" s="218"/>
      <c r="G6" s="218"/>
      <c r="H6" s="216"/>
      <c r="I6" s="216"/>
      <c r="J6" s="216"/>
      <c r="K6" s="216"/>
      <c r="L6" s="216"/>
      <c r="M6" s="216"/>
      <c r="N6" s="216"/>
      <c r="O6" s="216"/>
      <c r="P6" s="216"/>
      <c r="AA6"/>
      <c r="AB6"/>
      <c r="AC6" s="218"/>
      <c r="AD6" s="218"/>
      <c r="AE6" s="218"/>
      <c r="AF6" s="216"/>
      <c r="AG6" s="216"/>
      <c r="AH6" s="216"/>
      <c r="AI6" s="216"/>
      <c r="AJ6" s="216"/>
      <c r="AK6" s="216"/>
      <c r="AL6" s="216"/>
      <c r="AM6" s="216"/>
    </row>
    <row r="7" spans="2:41" s="219" customFormat="1" ht="15" customHeight="1">
      <c r="C7" s="220"/>
      <c r="D7" s="221"/>
      <c r="E7" s="221"/>
      <c r="F7" s="221"/>
      <c r="G7" s="221"/>
      <c r="H7" s="222"/>
      <c r="I7" s="222"/>
      <c r="J7" s="222"/>
      <c r="K7" s="223" t="s">
        <v>23</v>
      </c>
      <c r="L7" s="224"/>
      <c r="M7" s="224"/>
      <c r="N7" s="224"/>
      <c r="O7" s="224"/>
      <c r="P7" s="225"/>
      <c r="AA7"/>
      <c r="AB7"/>
      <c r="AC7" s="260"/>
      <c r="AD7" s="261"/>
      <c r="AE7" s="261"/>
      <c r="AF7" s="261"/>
      <c r="AG7" s="261"/>
      <c r="AH7" s="261"/>
      <c r="AI7" s="261"/>
      <c r="AJ7" s="261"/>
      <c r="AK7" s="262" t="s">
        <v>23</v>
      </c>
      <c r="AL7" s="263"/>
      <c r="AM7" s="263"/>
      <c r="AN7" s="263"/>
      <c r="AO7" s="263"/>
    </row>
    <row r="8" spans="2:41" s="219" customFormat="1" ht="15" customHeight="1">
      <c r="C8" s="226" t="s">
        <v>35</v>
      </c>
      <c r="D8" s="227"/>
      <c r="E8" s="227"/>
      <c r="F8" s="226" t="s">
        <v>166</v>
      </c>
      <c r="G8" s="227"/>
      <c r="H8" s="228">
        <v>2021</v>
      </c>
      <c r="I8" s="228">
        <v>2022</v>
      </c>
      <c r="J8" s="228">
        <v>2023</v>
      </c>
      <c r="K8" s="229">
        <v>2024</v>
      </c>
      <c r="L8" s="229">
        <v>2025</v>
      </c>
      <c r="M8" s="229">
        <v>2026</v>
      </c>
      <c r="N8" s="229">
        <v>2027</v>
      </c>
      <c r="O8" s="229">
        <v>2028</v>
      </c>
      <c r="P8" s="230"/>
      <c r="AA8"/>
      <c r="AB8"/>
      <c r="AC8" s="231" t="s">
        <v>35</v>
      </c>
      <c r="AF8" s="219" t="s">
        <v>166</v>
      </c>
      <c r="AH8" s="264">
        <f>AI8-1</f>
        <v>2021</v>
      </c>
      <c r="AI8" s="264">
        <f>AJ8-1</f>
        <v>2022</v>
      </c>
      <c r="AJ8" s="264">
        <f>AK8-1</f>
        <v>2023</v>
      </c>
      <c r="AK8" s="265">
        <f>YEAR(model_date)</f>
        <v>2024</v>
      </c>
      <c r="AL8" s="265">
        <f>AK8+1</f>
        <v>2025</v>
      </c>
      <c r="AM8" s="265">
        <f>AL8+1</f>
        <v>2026</v>
      </c>
      <c r="AN8" s="265">
        <f>AM8+1</f>
        <v>2027</v>
      </c>
      <c r="AO8" s="265">
        <f>AN8+1</f>
        <v>2028</v>
      </c>
    </row>
    <row r="9" spans="2:41" ht="12.9" customHeight="1">
      <c r="C9" s="233" t="s">
        <v>159</v>
      </c>
      <c r="D9" s="234"/>
      <c r="P9" s="235"/>
      <c r="AA9"/>
      <c r="AB9"/>
      <c r="AC9" s="254" t="s">
        <v>159</v>
      </c>
    </row>
    <row r="10" spans="2:41" ht="3" customHeight="1">
      <c r="C10" s="233"/>
      <c r="D10" s="234"/>
      <c r="P10" s="235"/>
      <c r="AA10"/>
      <c r="AB10"/>
      <c r="AC10" s="232"/>
    </row>
    <row r="11" spans="2:41">
      <c r="C11" s="233"/>
      <c r="D11" s="213" t="s">
        <v>160</v>
      </c>
      <c r="F11" s="408"/>
      <c r="G11" s="409">
        <v>58378.995000000003</v>
      </c>
      <c r="H11" s="252">
        <v>72854.343999999997</v>
      </c>
      <c r="I11" s="252">
        <v>79708.827000000005</v>
      </c>
      <c r="J11" s="252">
        <v>79736.856</v>
      </c>
      <c r="K11" s="252">
        <v>86115.804480000006</v>
      </c>
      <c r="L11" s="252">
        <v>93005.06883840001</v>
      </c>
      <c r="M11" s="252">
        <v>100445.47434547202</v>
      </c>
      <c r="N11" s="252">
        <v>108481.11229310978</v>
      </c>
      <c r="O11" s="252">
        <v>112820.35678483418</v>
      </c>
      <c r="P11" s="235"/>
      <c r="AA11"/>
      <c r="AB11" s="236" t="s">
        <v>157</v>
      </c>
      <c r="AC11" s="232"/>
      <c r="AD11" s="256" t="s">
        <v>160</v>
      </c>
      <c r="AF11" s="236"/>
      <c r="AG11" s="253">
        <f>MODELO!H49</f>
        <v>58378.995000000003</v>
      </c>
      <c r="AH11" s="253">
        <f>MODELO!I49</f>
        <v>72854.343999999997</v>
      </c>
      <c r="AI11" s="253">
        <f>MODELO!J49</f>
        <v>79708.827000000005</v>
      </c>
      <c r="AJ11" s="253">
        <f>MODELO!K49</f>
        <v>79736.856</v>
      </c>
      <c r="AK11" s="253">
        <f>MODELO!L49</f>
        <v>86115.804480000006</v>
      </c>
      <c r="AL11" s="253">
        <f>MODELO!M49</f>
        <v>93005.06883840001</v>
      </c>
      <c r="AM11" s="253">
        <f>MODELO!N49</f>
        <v>100445.47434547202</v>
      </c>
      <c r="AN11" s="253">
        <f>MODELO!O49</f>
        <v>108481.11229310978</v>
      </c>
      <c r="AO11" s="253">
        <f>MODELO!P49</f>
        <v>112820.35678483418</v>
      </c>
    </row>
    <row r="12" spans="2:41">
      <c r="C12" s="233"/>
      <c r="D12" s="213" t="s">
        <v>161</v>
      </c>
      <c r="E12" s="237"/>
      <c r="F12" s="408"/>
      <c r="G12" s="410"/>
      <c r="H12" s="240">
        <v>0.24795474810760254</v>
      </c>
      <c r="I12" s="240">
        <v>9.4084753546061828E-2</v>
      </c>
      <c r="J12" s="240">
        <v>3.5164235950935208E-4</v>
      </c>
      <c r="K12" s="240">
        <v>8.0000000000000071E-2</v>
      </c>
      <c r="L12" s="240">
        <v>8.0000000000000071E-2</v>
      </c>
      <c r="M12" s="240">
        <v>8.0000000000000071E-2</v>
      </c>
      <c r="N12" s="240">
        <v>8.0000000000000071E-2</v>
      </c>
      <c r="O12" s="240">
        <v>4.0000000000000036E-2</v>
      </c>
      <c r="P12" s="235"/>
      <c r="AA12"/>
      <c r="AB12" s="238" t="s">
        <v>158</v>
      </c>
      <c r="AC12" s="232"/>
      <c r="AD12" s="257" t="s">
        <v>161</v>
      </c>
      <c r="AF12" s="238"/>
      <c r="AH12" s="258">
        <f>AH11/AG11-1</f>
        <v>0.24795474810760254</v>
      </c>
      <c r="AI12" s="258">
        <f>AI11/AH11-1</f>
        <v>9.4084753546061828E-2</v>
      </c>
      <c r="AJ12" s="258">
        <f t="shared" ref="AJ12:AO12" si="0">AJ11/AI11-1</f>
        <v>3.5164235950935208E-4</v>
      </c>
      <c r="AK12" s="258">
        <f t="shared" si="0"/>
        <v>8.0000000000000071E-2</v>
      </c>
      <c r="AL12" s="258">
        <f t="shared" si="0"/>
        <v>8.0000000000000071E-2</v>
      </c>
      <c r="AM12" s="258">
        <f t="shared" si="0"/>
        <v>8.0000000000000071E-2</v>
      </c>
      <c r="AN12" s="258">
        <f t="shared" si="0"/>
        <v>8.0000000000000071E-2</v>
      </c>
      <c r="AO12" s="258">
        <f t="shared" si="0"/>
        <v>4.0000000000000036E-2</v>
      </c>
    </row>
    <row r="13" spans="2:41" ht="3" customHeight="1">
      <c r="C13" s="233"/>
      <c r="E13" s="241"/>
      <c r="F13" s="241"/>
      <c r="G13" s="409"/>
      <c r="H13" s="242"/>
      <c r="I13" s="242"/>
      <c r="J13" s="242"/>
      <c r="K13" s="242"/>
      <c r="L13" s="242"/>
      <c r="M13" s="242"/>
      <c r="N13" s="242"/>
      <c r="O13" s="242"/>
      <c r="P13" s="235"/>
      <c r="AA13"/>
      <c r="AC13" s="232"/>
    </row>
    <row r="14" spans="2:41" ht="3" customHeight="1">
      <c r="C14" s="233"/>
      <c r="G14" s="409"/>
      <c r="H14" s="239"/>
      <c r="I14" s="239"/>
      <c r="J14" s="239"/>
      <c r="K14" s="239"/>
      <c r="L14" s="239"/>
      <c r="M14" s="239"/>
      <c r="N14" s="239"/>
      <c r="O14" s="239"/>
      <c r="P14" s="235"/>
      <c r="AA14"/>
      <c r="AC14" s="232"/>
    </row>
    <row r="15" spans="2:41">
      <c r="C15" s="233"/>
      <c r="D15" s="213" t="s">
        <v>0</v>
      </c>
      <c r="F15" s="408"/>
      <c r="G15" s="409">
        <v>21096.240000000009</v>
      </c>
      <c r="H15" s="252">
        <v>22361.211999999996</v>
      </c>
      <c r="I15" s="252">
        <v>23615.09</v>
      </c>
      <c r="J15" s="252">
        <v>25063.604000000003</v>
      </c>
      <c r="K15" s="252">
        <v>25235.191545757589</v>
      </c>
      <c r="L15" s="252">
        <v>27098.441189418198</v>
      </c>
      <c r="M15" s="252">
        <v>29110.750804571649</v>
      </c>
      <c r="N15" s="252">
        <v>31284.045188937384</v>
      </c>
      <c r="O15" s="252">
        <v>32457.624156494883</v>
      </c>
      <c r="P15" s="243"/>
      <c r="AA15"/>
      <c r="AB15" s="236" t="s">
        <v>157</v>
      </c>
      <c r="AC15" s="232"/>
      <c r="AD15" s="213" t="s">
        <v>0</v>
      </c>
      <c r="AF15" s="236"/>
      <c r="AG15" s="253">
        <f>MODELO!H55</f>
        <v>21096.240000000009</v>
      </c>
      <c r="AH15" s="253">
        <f>MODELO!I55</f>
        <v>22361.211999999996</v>
      </c>
      <c r="AI15" s="253">
        <f>MODELO!J55</f>
        <v>23615.09</v>
      </c>
      <c r="AJ15" s="253">
        <f>MODELO!K55</f>
        <v>25063.604000000003</v>
      </c>
      <c r="AK15" s="253">
        <f>MODELO!L55</f>
        <v>25235.191545757589</v>
      </c>
      <c r="AL15" s="253">
        <f>MODELO!M55</f>
        <v>27098.441189418198</v>
      </c>
      <c r="AM15" s="253">
        <f>MODELO!N55</f>
        <v>29110.750804571649</v>
      </c>
      <c r="AN15" s="253">
        <f>MODELO!O55</f>
        <v>31284.045188937384</v>
      </c>
      <c r="AO15" s="253">
        <f>MODELO!P55</f>
        <v>32457.624156494883</v>
      </c>
    </row>
    <row r="16" spans="2:41">
      <c r="C16" s="233"/>
      <c r="D16" s="213" t="s">
        <v>162</v>
      </c>
      <c r="E16" s="237"/>
      <c r="F16" s="408"/>
      <c r="G16" s="410"/>
      <c r="H16" s="240">
        <v>0.30693038701988717</v>
      </c>
      <c r="I16" s="240">
        <v>0.29626693665934889</v>
      </c>
      <c r="J16" s="240">
        <v>0.31432897228854878</v>
      </c>
      <c r="K16" s="240">
        <v>0.29303786567561296</v>
      </c>
      <c r="L16" s="240">
        <v>0.29136520759425288</v>
      </c>
      <c r="M16" s="240">
        <v>0.28981645011151203</v>
      </c>
      <c r="N16" s="240">
        <v>0.28838241540527054</v>
      </c>
      <c r="O16" s="240">
        <v>0.28769297564265445</v>
      </c>
      <c r="P16" s="244"/>
      <c r="AA16"/>
      <c r="AB16" s="238" t="s">
        <v>158</v>
      </c>
      <c r="AC16" s="232"/>
      <c r="AD16" s="257" t="s">
        <v>162</v>
      </c>
      <c r="AF16" s="238"/>
      <c r="AH16" s="258">
        <f>AH15/AH11</f>
        <v>0.30693038701988717</v>
      </c>
      <c r="AI16" s="258">
        <f t="shared" ref="AI16:AO16" si="1">AI15/AI11</f>
        <v>0.29626693665934889</v>
      </c>
      <c r="AJ16" s="258">
        <f t="shared" si="1"/>
        <v>0.31432897228854878</v>
      </c>
      <c r="AK16" s="258">
        <f t="shared" si="1"/>
        <v>0.29303786567561296</v>
      </c>
      <c r="AL16" s="258">
        <f t="shared" si="1"/>
        <v>0.29136520759425288</v>
      </c>
      <c r="AM16" s="258">
        <f t="shared" si="1"/>
        <v>0.28981645011151203</v>
      </c>
      <c r="AN16" s="258">
        <f t="shared" si="1"/>
        <v>0.28838241540527054</v>
      </c>
      <c r="AO16" s="258">
        <f t="shared" si="1"/>
        <v>0.28769297564265445</v>
      </c>
    </row>
    <row r="17" spans="3:41">
      <c r="C17" s="233"/>
      <c r="D17" s="213" t="s">
        <v>161</v>
      </c>
      <c r="E17" s="237"/>
      <c r="F17" s="238"/>
      <c r="G17" s="410"/>
      <c r="H17" s="240">
        <v>5.9961964786141353E-2</v>
      </c>
      <c r="I17" s="240">
        <v>5.6073794211154659E-2</v>
      </c>
      <c r="J17" s="240">
        <v>6.1338491617012769E-2</v>
      </c>
      <c r="K17" s="240">
        <v>6.8460842964797042E-3</v>
      </c>
      <c r="L17" s="240">
        <v>7.3835367577142375E-2</v>
      </c>
      <c r="M17" s="240">
        <v>7.4259238791168913E-2</v>
      </c>
      <c r="N17" s="240">
        <v>7.4656074621903379E-2</v>
      </c>
      <c r="O17" s="240">
        <v>3.7513657855618332E-2</v>
      </c>
      <c r="P17" s="244"/>
      <c r="AA17"/>
      <c r="AB17" s="238" t="s">
        <v>158</v>
      </c>
      <c r="AC17" s="232"/>
      <c r="AD17" s="257" t="s">
        <v>161</v>
      </c>
      <c r="AF17" s="238"/>
      <c r="AH17" s="258">
        <f t="shared" ref="AH17:AO17" si="2">AH15/AG15-1</f>
        <v>5.9961964786141353E-2</v>
      </c>
      <c r="AI17" s="258">
        <f t="shared" si="2"/>
        <v>5.6073794211154659E-2</v>
      </c>
      <c r="AJ17" s="258">
        <f t="shared" si="2"/>
        <v>6.1338491617012769E-2</v>
      </c>
      <c r="AK17" s="258">
        <f t="shared" si="2"/>
        <v>6.8460842964797042E-3</v>
      </c>
      <c r="AL17" s="258">
        <f t="shared" si="2"/>
        <v>7.3835367577142375E-2</v>
      </c>
      <c r="AM17" s="258">
        <f t="shared" si="2"/>
        <v>7.4259238791168913E-2</v>
      </c>
      <c r="AN17" s="258">
        <f t="shared" si="2"/>
        <v>7.4656074621903379E-2</v>
      </c>
      <c r="AO17" s="258">
        <f t="shared" si="2"/>
        <v>3.7513657855618332E-2</v>
      </c>
    </row>
    <row r="18" spans="3:41" ht="3" customHeight="1">
      <c r="C18" s="233"/>
      <c r="E18" s="241"/>
      <c r="F18" s="241"/>
      <c r="G18" s="409"/>
      <c r="H18" s="242"/>
      <c r="I18" s="242"/>
      <c r="J18" s="242"/>
      <c r="K18" s="242"/>
      <c r="L18" s="242"/>
      <c r="M18" s="242"/>
      <c r="N18" s="242"/>
      <c r="O18" s="242"/>
      <c r="P18" s="235"/>
      <c r="AA18"/>
      <c r="AC18" s="232"/>
    </row>
    <row r="19" spans="3:41" ht="3" customHeight="1">
      <c r="C19" s="233"/>
      <c r="G19" s="409"/>
      <c r="H19" s="239"/>
      <c r="I19" s="239"/>
      <c r="J19" s="239"/>
      <c r="K19" s="239"/>
      <c r="L19" s="239"/>
      <c r="M19" s="239"/>
      <c r="N19" s="239"/>
      <c r="O19" s="239"/>
      <c r="P19" s="235"/>
      <c r="AA19"/>
      <c r="AC19" s="232"/>
    </row>
    <row r="20" spans="3:41">
      <c r="C20" s="233"/>
      <c r="D20" s="213" t="s">
        <v>47</v>
      </c>
      <c r="F20" s="408"/>
      <c r="G20" s="409">
        <v>11731.909000000009</v>
      </c>
      <c r="H20" s="252">
        <v>13122.581999999995</v>
      </c>
      <c r="I20" s="252">
        <v>14891.290999999999</v>
      </c>
      <c r="J20" s="252">
        <v>14960.459000000003</v>
      </c>
      <c r="K20" s="252">
        <v>14560.000143878227</v>
      </c>
      <c r="L20" s="252">
        <v>16536.907549293534</v>
      </c>
      <c r="M20" s="252">
        <v>18648.049806399762</v>
      </c>
      <c r="N20" s="252">
        <v>20904.329717180819</v>
      </c>
      <c r="O20" s="252">
        <v>22237.833503715261</v>
      </c>
      <c r="P20" s="243"/>
      <c r="AA20"/>
      <c r="AB20" s="236" t="s">
        <v>157</v>
      </c>
      <c r="AC20" s="232"/>
      <c r="AD20" s="256" t="s">
        <v>47</v>
      </c>
      <c r="AF20" s="236"/>
      <c r="AG20" s="253">
        <f>MODELO!H64</f>
        <v>11731.909000000009</v>
      </c>
      <c r="AH20" s="253">
        <f>MODELO!I64</f>
        <v>13122.581999999995</v>
      </c>
      <c r="AI20" s="253">
        <f>MODELO!J64</f>
        <v>14891.290999999999</v>
      </c>
      <c r="AJ20" s="253">
        <f>MODELO!K64</f>
        <v>14960.459000000003</v>
      </c>
      <c r="AK20" s="253">
        <f>MODELO!L64</f>
        <v>14560.000143878227</v>
      </c>
      <c r="AL20" s="253">
        <f>MODELO!M64</f>
        <v>16536.907549293534</v>
      </c>
      <c r="AM20" s="253">
        <f>MODELO!N64</f>
        <v>18648.049806399762</v>
      </c>
      <c r="AN20" s="253">
        <f>MODELO!O64</f>
        <v>20904.329717180819</v>
      </c>
      <c r="AO20" s="253">
        <f>MODELO!P64</f>
        <v>22237.833503715261</v>
      </c>
    </row>
    <row r="21" spans="3:41">
      <c r="C21" s="233"/>
      <c r="D21" s="213" t="s">
        <v>162</v>
      </c>
      <c r="E21" s="237"/>
      <c r="F21" s="408"/>
      <c r="G21" s="410"/>
      <c r="H21" s="240">
        <v>0.18012079005199738</v>
      </c>
      <c r="I21" s="240">
        <v>0.1868211032637577</v>
      </c>
      <c r="J21" s="240">
        <v>0.18762288545713418</v>
      </c>
      <c r="K21" s="240">
        <v>0.16907465745454098</v>
      </c>
      <c r="L21" s="240">
        <v>0.17780651910517981</v>
      </c>
      <c r="M21" s="240">
        <v>0.18565345953030882</v>
      </c>
      <c r="N21" s="240">
        <v>0.19270017863292654</v>
      </c>
      <c r="O21" s="240">
        <v>0.19710834230143626</v>
      </c>
      <c r="P21" s="243"/>
      <c r="AA21"/>
      <c r="AB21" s="238" t="s">
        <v>158</v>
      </c>
      <c r="AC21" s="232"/>
      <c r="AD21" s="257" t="s">
        <v>162</v>
      </c>
      <c r="AF21" s="238"/>
      <c r="AH21" s="258">
        <f>AH20/AH11</f>
        <v>0.18012079005199738</v>
      </c>
      <c r="AI21" s="258">
        <f t="shared" ref="AI21:AO21" si="3">AI20/AI11</f>
        <v>0.1868211032637577</v>
      </c>
      <c r="AJ21" s="258">
        <f t="shared" si="3"/>
        <v>0.18762288545713418</v>
      </c>
      <c r="AK21" s="258">
        <f t="shared" si="3"/>
        <v>0.16907465745454098</v>
      </c>
      <c r="AL21" s="258">
        <f t="shared" si="3"/>
        <v>0.17780651910517981</v>
      </c>
      <c r="AM21" s="258">
        <f t="shared" si="3"/>
        <v>0.18565345953030882</v>
      </c>
      <c r="AN21" s="258">
        <f t="shared" si="3"/>
        <v>0.19270017863292654</v>
      </c>
      <c r="AO21" s="258">
        <f t="shared" si="3"/>
        <v>0.19710834230143626</v>
      </c>
    </row>
    <row r="22" spans="3:41">
      <c r="C22" s="233"/>
      <c r="D22" s="213" t="s">
        <v>161</v>
      </c>
      <c r="E22" s="237"/>
      <c r="F22" s="245"/>
      <c r="G22" s="410"/>
      <c r="H22" s="240">
        <v>0.11853765657404813</v>
      </c>
      <c r="I22" s="240">
        <v>0.13478361194466193</v>
      </c>
      <c r="J22" s="240">
        <v>4.6448625575850055E-3</v>
      </c>
      <c r="K22" s="240">
        <v>-2.6767818829741441E-2</v>
      </c>
      <c r="L22" s="240">
        <v>0.13577660617307763</v>
      </c>
      <c r="M22" s="240">
        <v>0.12766245749474581</v>
      </c>
      <c r="N22" s="240">
        <v>0.12099280805260038</v>
      </c>
      <c r="O22" s="240">
        <v>6.3790793800887258E-2</v>
      </c>
      <c r="P22" s="243"/>
      <c r="AA22"/>
      <c r="AB22" s="238" t="s">
        <v>158</v>
      </c>
      <c r="AC22" s="250"/>
      <c r="AD22" s="266" t="s">
        <v>161</v>
      </c>
      <c r="AE22" s="251"/>
      <c r="AF22" s="267"/>
      <c r="AG22" s="251"/>
      <c r="AH22" s="268">
        <f>AH20/AG20-1</f>
        <v>0.11853765657404813</v>
      </c>
      <c r="AI22" s="268">
        <f>AI20/AH20-1</f>
        <v>0.13478361194466193</v>
      </c>
      <c r="AJ22" s="268">
        <f t="shared" ref="AJ22:AO22" si="4">AJ20/AI20-1</f>
        <v>4.6448625575850055E-3</v>
      </c>
      <c r="AK22" s="268">
        <f t="shared" si="4"/>
        <v>-2.6767818829741441E-2</v>
      </c>
      <c r="AL22" s="268">
        <f t="shared" si="4"/>
        <v>0.13577660617307763</v>
      </c>
      <c r="AM22" s="268">
        <f t="shared" si="4"/>
        <v>0.12766245749474581</v>
      </c>
      <c r="AN22" s="268">
        <f t="shared" si="4"/>
        <v>0.12099280805260038</v>
      </c>
      <c r="AO22" s="268">
        <f t="shared" si="4"/>
        <v>6.3790793800887258E-2</v>
      </c>
    </row>
    <row r="23" spans="3:41" ht="3.9" customHeight="1">
      <c r="C23" s="246"/>
      <c r="D23" s="247"/>
      <c r="E23" s="248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9"/>
      <c r="AA23"/>
      <c r="AB23"/>
    </row>
    <row r="24" spans="3:41" ht="15" customHeight="1">
      <c r="C24" s="242"/>
      <c r="D24" s="242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</row>
    <row r="25" spans="3:41" ht="15" customHeight="1">
      <c r="C25" s="217"/>
      <c r="D25" s="218"/>
      <c r="E25" s="218"/>
      <c r="F25" s="218"/>
      <c r="G25" s="218"/>
      <c r="H25" s="216"/>
      <c r="I25" s="216"/>
      <c r="J25" s="216"/>
      <c r="K25" s="216"/>
      <c r="L25" s="216"/>
      <c r="M25" s="216"/>
      <c r="N25" s="216"/>
      <c r="O25" s="216"/>
      <c r="P25" s="216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</row>
    <row r="26" spans="3:41" ht="15" customHeight="1">
      <c r="C26" s="226" t="s">
        <v>164</v>
      </c>
      <c r="D26" s="226"/>
      <c r="E26" s="226"/>
      <c r="F26" s="226"/>
      <c r="G26" s="226"/>
      <c r="H26" s="255" t="s">
        <v>315</v>
      </c>
      <c r="I26" s="255"/>
      <c r="J26" s="255"/>
      <c r="K26" s="255"/>
      <c r="L26" s="255"/>
      <c r="M26" s="255"/>
      <c r="N26" s="255"/>
      <c r="O26" s="255"/>
      <c r="P26" s="255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</row>
    <row r="27" spans="3:41" ht="4.95" customHeight="1">
      <c r="C27" s="217"/>
      <c r="D27" s="218"/>
      <c r="E27" s="218"/>
      <c r="F27" s="218"/>
      <c r="G27" s="218"/>
      <c r="H27" s="216"/>
      <c r="I27" s="216"/>
      <c r="J27" s="216"/>
      <c r="K27" s="216"/>
      <c r="L27" s="216"/>
      <c r="M27" s="216"/>
      <c r="N27" s="216"/>
      <c r="O27" s="216"/>
      <c r="P27" s="216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</row>
    <row r="28" spans="3:41" s="219" customFormat="1" ht="15" customHeight="1">
      <c r="C28" s="220"/>
      <c r="D28" s="221"/>
      <c r="E28" s="221"/>
      <c r="F28" s="221"/>
      <c r="G28" s="221"/>
      <c r="H28" s="222"/>
      <c r="I28" s="222"/>
      <c r="J28" s="222"/>
      <c r="K28" s="223" t="s">
        <v>23</v>
      </c>
      <c r="L28" s="224"/>
      <c r="M28" s="224"/>
      <c r="N28" s="224"/>
      <c r="O28" s="224"/>
      <c r="P28" s="225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</row>
    <row r="29" spans="3:41" s="219" customFormat="1" ht="15" customHeight="1">
      <c r="C29" s="226" t="s">
        <v>35</v>
      </c>
      <c r="D29" s="227"/>
      <c r="E29" s="227"/>
      <c r="F29" s="226" t="s">
        <v>166</v>
      </c>
      <c r="G29" s="227"/>
      <c r="H29" s="228">
        <v>2021</v>
      </c>
      <c r="I29" s="228">
        <v>2022</v>
      </c>
      <c r="J29" s="228">
        <v>2023</v>
      </c>
      <c r="K29" s="229">
        <v>2024</v>
      </c>
      <c r="L29" s="229">
        <v>2025</v>
      </c>
      <c r="M29" s="229">
        <v>2026</v>
      </c>
      <c r="N29" s="229">
        <v>2027</v>
      </c>
      <c r="O29" s="229">
        <v>2028</v>
      </c>
      <c r="P29" s="230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</row>
    <row r="30" spans="3:41" ht="12.9" customHeight="1">
      <c r="C30" s="233" t="s">
        <v>159</v>
      </c>
      <c r="D30" s="234"/>
      <c r="P30" s="235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</row>
    <row r="31" spans="3:41" ht="3" customHeight="1">
      <c r="C31" s="233"/>
      <c r="D31" s="234"/>
      <c r="P31" s="235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</row>
    <row r="32" spans="3:41">
      <c r="C32" s="233"/>
      <c r="D32" s="213" t="s">
        <v>160</v>
      </c>
      <c r="F32" s="408"/>
      <c r="G32" s="409">
        <v>58378.995000000003</v>
      </c>
      <c r="H32" s="252">
        <v>72854.343999999997</v>
      </c>
      <c r="I32" s="252">
        <v>79708.827000000005</v>
      </c>
      <c r="J32" s="252">
        <v>79736.856</v>
      </c>
      <c r="K32" s="252">
        <v>82527.645959999994</v>
      </c>
      <c r="L32" s="252">
        <v>85416.113568599991</v>
      </c>
      <c r="M32" s="252">
        <v>88405.677543500977</v>
      </c>
      <c r="N32" s="252">
        <v>91499.876257523501</v>
      </c>
      <c r="O32" s="252">
        <v>95159.871307824447</v>
      </c>
      <c r="P32" s="235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</row>
    <row r="33" spans="3:16">
      <c r="C33" s="233"/>
      <c r="D33" s="213" t="s">
        <v>161</v>
      </c>
      <c r="E33" s="237"/>
      <c r="F33" s="408"/>
      <c r="G33" s="410"/>
      <c r="H33" s="240">
        <v>0.24795474810760254</v>
      </c>
      <c r="I33" s="240">
        <v>9.4084753546061828E-2</v>
      </c>
      <c r="J33" s="240">
        <v>3.5164235950935208E-4</v>
      </c>
      <c r="K33" s="240">
        <v>3.499999999999992E-2</v>
      </c>
      <c r="L33" s="240">
        <v>3.499999999999992E-2</v>
      </c>
      <c r="M33" s="240">
        <v>3.499999999999992E-2</v>
      </c>
      <c r="N33" s="240">
        <v>3.499999999999992E-2</v>
      </c>
      <c r="O33" s="240">
        <v>4.0000000000000036E-2</v>
      </c>
      <c r="P33" s="235"/>
    </row>
    <row r="34" spans="3:16" ht="3" customHeight="1">
      <c r="C34" s="233"/>
      <c r="E34" s="241"/>
      <c r="F34" s="412"/>
      <c r="G34" s="409"/>
      <c r="H34" s="242"/>
      <c r="I34" s="242"/>
      <c r="J34" s="242"/>
      <c r="K34" s="242"/>
      <c r="L34" s="242"/>
      <c r="M34" s="242"/>
      <c r="N34" s="242"/>
      <c r="O34" s="242"/>
      <c r="P34" s="235"/>
    </row>
    <row r="35" spans="3:16" ht="3" customHeight="1">
      <c r="C35" s="233"/>
      <c r="G35" s="409"/>
      <c r="H35" s="239"/>
      <c r="I35" s="239"/>
      <c r="J35" s="239"/>
      <c r="K35" s="239"/>
      <c r="L35" s="239"/>
      <c r="M35" s="239"/>
      <c r="N35" s="239"/>
      <c r="O35" s="239"/>
      <c r="P35" s="235"/>
    </row>
    <row r="36" spans="3:16">
      <c r="C36" s="233"/>
      <c r="D36" s="213" t="s">
        <v>0</v>
      </c>
      <c r="F36" s="408"/>
      <c r="G36" s="409">
        <v>21096.240000000009</v>
      </c>
      <c r="H36" s="252">
        <v>22361.211999999996</v>
      </c>
      <c r="I36" s="252">
        <v>23615.09</v>
      </c>
      <c r="J36" s="252">
        <v>25063.604000000003</v>
      </c>
      <c r="K36" s="252">
        <v>20925.929570799999</v>
      </c>
      <c r="L36" s="252">
        <v>21590.277120778002</v>
      </c>
      <c r="M36" s="252">
        <v>22277.876835005223</v>
      </c>
      <c r="N36" s="252">
        <v>22989.542539230413</v>
      </c>
      <c r="O36" s="252">
        <v>23831.341400799629</v>
      </c>
      <c r="P36" s="243"/>
    </row>
    <row r="37" spans="3:16">
      <c r="C37" s="233"/>
      <c r="D37" s="213" t="s">
        <v>162</v>
      </c>
      <c r="E37" s="237"/>
      <c r="F37" s="408"/>
      <c r="G37" s="410"/>
      <c r="H37" s="240">
        <v>0.30693038701988717</v>
      </c>
      <c r="I37" s="240">
        <v>0.29626693665934889</v>
      </c>
      <c r="J37" s="240">
        <v>0.31432897228854878</v>
      </c>
      <c r="K37" s="240">
        <v>0.25356266166785502</v>
      </c>
      <c r="L37" s="240">
        <v>0.25276585668391793</v>
      </c>
      <c r="M37" s="240">
        <v>0.25199599679605589</v>
      </c>
      <c r="N37" s="240">
        <v>0.25125217081744544</v>
      </c>
      <c r="O37" s="240">
        <v>0.25043477963215904</v>
      </c>
      <c r="P37" s="244"/>
    </row>
    <row r="38" spans="3:16">
      <c r="C38" s="233"/>
      <c r="D38" s="213" t="s">
        <v>161</v>
      </c>
      <c r="E38" s="237"/>
      <c r="F38" s="238"/>
      <c r="G38" s="410"/>
      <c r="H38" s="240">
        <v>5.9961964786141353E-2</v>
      </c>
      <c r="I38" s="240">
        <v>5.6073794211154659E-2</v>
      </c>
      <c r="J38" s="240">
        <v>6.1338491617012769E-2</v>
      </c>
      <c r="K38" s="240">
        <v>-0.16508696950366764</v>
      </c>
      <c r="L38" s="240">
        <v>3.1747576504559838E-2</v>
      </c>
      <c r="M38" s="240">
        <v>3.1847655793426188E-2</v>
      </c>
      <c r="N38" s="240">
        <v>3.1944951913323694E-2</v>
      </c>
      <c r="O38" s="240">
        <v>3.6616599052927246E-2</v>
      </c>
      <c r="P38" s="244"/>
    </row>
    <row r="39" spans="3:16" ht="3" customHeight="1">
      <c r="C39" s="233"/>
      <c r="E39" s="241"/>
      <c r="F39" s="241"/>
      <c r="G39" s="409"/>
      <c r="H39" s="242"/>
      <c r="I39" s="242"/>
      <c r="J39" s="242"/>
      <c r="K39" s="242"/>
      <c r="L39" s="242"/>
      <c r="M39" s="242"/>
      <c r="N39" s="242"/>
      <c r="O39" s="242"/>
      <c r="P39" s="235"/>
    </row>
    <row r="40" spans="3:16" ht="3" customHeight="1">
      <c r="C40" s="233"/>
      <c r="F40" s="411"/>
      <c r="G40" s="409"/>
      <c r="H40" s="239"/>
      <c r="I40" s="239"/>
      <c r="J40" s="239"/>
      <c r="K40" s="239"/>
      <c r="L40" s="239"/>
      <c r="M40" s="239"/>
      <c r="N40" s="239"/>
      <c r="O40" s="239"/>
      <c r="P40" s="235"/>
    </row>
    <row r="41" spans="3:16">
      <c r="C41" s="233"/>
      <c r="D41" s="213" t="s">
        <v>47</v>
      </c>
      <c r="F41" s="408"/>
      <c r="G41" s="409">
        <v>11731.909000000009</v>
      </c>
      <c r="H41" s="252">
        <v>13122.581999999995</v>
      </c>
      <c r="I41" s="252">
        <v>14891.290999999999</v>
      </c>
      <c r="J41" s="252">
        <v>14960.459000000003</v>
      </c>
      <c r="K41" s="252">
        <v>9914.0302267199986</v>
      </c>
      <c r="L41" s="252">
        <v>10511.943021700203</v>
      </c>
      <c r="M41" s="252">
        <v>11130.7827645047</v>
      </c>
      <c r="N41" s="252">
        <v>11771.28189830737</v>
      </c>
      <c r="O41" s="252">
        <v>12528.900873719664</v>
      </c>
      <c r="P41" s="243"/>
    </row>
    <row r="42" spans="3:16">
      <c r="C42" s="233"/>
      <c r="D42" s="213" t="s">
        <v>162</v>
      </c>
      <c r="E42" s="237"/>
      <c r="F42" s="408"/>
      <c r="G42" s="410"/>
      <c r="H42" s="240">
        <v>0.18012079005199738</v>
      </c>
      <c r="I42" s="240">
        <v>0.1868211032637577</v>
      </c>
      <c r="J42" s="240">
        <v>0.18762288545713418</v>
      </c>
      <c r="K42" s="240">
        <v>0.12012980754988688</v>
      </c>
      <c r="L42" s="240">
        <v>0.12306744690810331</v>
      </c>
      <c r="M42" s="240">
        <v>0.12590574580493066</v>
      </c>
      <c r="N42" s="240">
        <v>0.12864806357964323</v>
      </c>
      <c r="O42" s="240">
        <v>0.13166159959581075</v>
      </c>
      <c r="P42" s="243"/>
    </row>
    <row r="43" spans="3:16">
      <c r="C43" s="233"/>
      <c r="D43" s="213" t="s">
        <v>161</v>
      </c>
      <c r="E43" s="237"/>
      <c r="F43" s="245"/>
      <c r="G43" s="410"/>
      <c r="H43" s="240">
        <v>0.11853765657404813</v>
      </c>
      <c r="I43" s="240">
        <v>0.13478361194466193</v>
      </c>
      <c r="J43" s="240">
        <v>4.6448625575850055E-3</v>
      </c>
      <c r="K43" s="240">
        <v>-0.33731777703344545</v>
      </c>
      <c r="L43" s="240">
        <v>6.0309761147260499E-2</v>
      </c>
      <c r="M43" s="240">
        <v>5.8870157641361054E-2</v>
      </c>
      <c r="N43" s="240">
        <v>5.7543045026912099E-2</v>
      </c>
      <c r="O43" s="240">
        <v>6.4361637242009717E-2</v>
      </c>
      <c r="P43" s="243"/>
    </row>
    <row r="44" spans="3:16" ht="3.9" customHeight="1">
      <c r="C44" s="246"/>
      <c r="D44" s="247"/>
      <c r="E44" s="248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9"/>
    </row>
    <row r="45" spans="3:16" ht="15" customHeight="1">
      <c r="C45" s="242"/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</row>
    <row r="46" spans="3:16" ht="15" customHeight="1">
      <c r="C46" s="217"/>
      <c r="D46" s="218"/>
      <c r="E46" s="218"/>
      <c r="F46" s="218"/>
      <c r="G46" s="218"/>
      <c r="H46" s="216"/>
      <c r="I46" s="216"/>
      <c r="J46" s="216"/>
      <c r="K46" s="216"/>
      <c r="L46" s="216"/>
      <c r="M46" s="216"/>
      <c r="N46" s="216"/>
      <c r="O46" s="216"/>
      <c r="P46" s="216"/>
    </row>
    <row r="47" spans="3:16">
      <c r="C47" s="226" t="s">
        <v>165</v>
      </c>
      <c r="D47" s="226"/>
      <c r="E47" s="226"/>
      <c r="F47" s="226"/>
      <c r="G47" s="226"/>
      <c r="H47" s="255" t="s">
        <v>314</v>
      </c>
      <c r="I47" s="255"/>
      <c r="J47" s="255"/>
      <c r="K47" s="255"/>
      <c r="L47" s="255"/>
      <c r="M47" s="255"/>
      <c r="N47" s="255"/>
      <c r="O47" s="255"/>
      <c r="P47" s="255"/>
    </row>
    <row r="48" spans="3:16" ht="4.95" customHeight="1">
      <c r="C48" s="217"/>
      <c r="D48" s="218"/>
      <c r="E48" s="218"/>
      <c r="F48" s="218"/>
      <c r="G48" s="218"/>
      <c r="H48" s="216"/>
      <c r="I48" s="216"/>
      <c r="J48" s="216"/>
      <c r="K48" s="216"/>
      <c r="L48" s="216"/>
      <c r="M48" s="216"/>
      <c r="N48" s="216"/>
      <c r="O48" s="216"/>
      <c r="P48" s="216"/>
    </row>
    <row r="49" spans="3:16">
      <c r="C49" s="220"/>
      <c r="D49" s="221"/>
      <c r="E49" s="221"/>
      <c r="F49" s="221"/>
      <c r="G49" s="221"/>
      <c r="H49" s="222"/>
      <c r="I49" s="222"/>
      <c r="J49" s="222"/>
      <c r="K49" s="223" t="s">
        <v>23</v>
      </c>
      <c r="L49" s="224"/>
      <c r="M49" s="224"/>
      <c r="N49" s="224"/>
      <c r="O49" s="224"/>
      <c r="P49" s="225"/>
    </row>
    <row r="50" spans="3:16">
      <c r="C50" s="226" t="s">
        <v>35</v>
      </c>
      <c r="D50" s="227"/>
      <c r="E50" s="227"/>
      <c r="F50" s="226" t="s">
        <v>166</v>
      </c>
      <c r="G50" s="227"/>
      <c r="H50" s="228">
        <v>2021</v>
      </c>
      <c r="I50" s="228">
        <v>2022</v>
      </c>
      <c r="J50" s="228">
        <v>2023</v>
      </c>
      <c r="K50" s="229">
        <v>2024</v>
      </c>
      <c r="L50" s="229">
        <v>2025</v>
      </c>
      <c r="M50" s="229">
        <v>2026</v>
      </c>
      <c r="N50" s="229">
        <v>2027</v>
      </c>
      <c r="O50" s="229">
        <v>2028</v>
      </c>
      <c r="P50" s="230"/>
    </row>
    <row r="51" spans="3:16">
      <c r="C51" s="233" t="s">
        <v>159</v>
      </c>
      <c r="D51" s="234"/>
      <c r="P51" s="235"/>
    </row>
    <row r="52" spans="3:16" ht="4.95" customHeight="1">
      <c r="C52" s="233"/>
      <c r="D52" s="234"/>
      <c r="P52" s="235"/>
    </row>
    <row r="53" spans="3:16">
      <c r="C53" s="233"/>
      <c r="D53" s="213" t="s">
        <v>160</v>
      </c>
      <c r="F53" s="408"/>
      <c r="G53" s="409">
        <v>58378.995000000003</v>
      </c>
      <c r="H53" s="252">
        <v>72854.343999999997</v>
      </c>
      <c r="I53" s="252">
        <v>79708.827000000005</v>
      </c>
      <c r="J53" s="252">
        <v>79736.856</v>
      </c>
      <c r="K53" s="252">
        <v>90102.64727999999</v>
      </c>
      <c r="L53" s="252">
        <v>101815.99142639998</v>
      </c>
      <c r="M53" s="252">
        <v>115052.07031183197</v>
      </c>
      <c r="N53" s="252">
        <v>130008.83945237011</v>
      </c>
      <c r="O53" s="252">
        <v>135209.19303046493</v>
      </c>
      <c r="P53" s="235"/>
    </row>
    <row r="54" spans="3:16">
      <c r="C54" s="233"/>
      <c r="D54" s="213" t="s">
        <v>161</v>
      </c>
      <c r="E54" s="237"/>
      <c r="F54" s="408"/>
      <c r="G54" s="410"/>
      <c r="H54" s="240">
        <v>0.24795474810760254</v>
      </c>
      <c r="I54" s="240">
        <v>9.4084753546061828E-2</v>
      </c>
      <c r="J54" s="240">
        <v>3.5164235950935208E-4</v>
      </c>
      <c r="K54" s="240">
        <v>0.12999999999999989</v>
      </c>
      <c r="L54" s="240">
        <v>0.12999999999999989</v>
      </c>
      <c r="M54" s="240">
        <v>0.12999999999999989</v>
      </c>
      <c r="N54" s="240">
        <v>0.12999999999999989</v>
      </c>
      <c r="O54" s="240">
        <v>4.0000000000000036E-2</v>
      </c>
      <c r="P54" s="235"/>
    </row>
    <row r="55" spans="3:16" ht="4.95" customHeight="1">
      <c r="C55" s="233"/>
      <c r="E55" s="241"/>
      <c r="F55" s="408"/>
      <c r="G55" s="409"/>
      <c r="H55" s="242"/>
      <c r="I55" s="242"/>
      <c r="J55" s="242"/>
      <c r="K55" s="242"/>
      <c r="L55" s="242"/>
      <c r="M55" s="242"/>
      <c r="N55" s="242"/>
      <c r="O55" s="242"/>
      <c r="P55" s="235"/>
    </row>
    <row r="56" spans="3:16" ht="4.95" customHeight="1">
      <c r="C56" s="233"/>
      <c r="G56" s="409"/>
      <c r="H56" s="239"/>
      <c r="I56" s="239"/>
      <c r="J56" s="239"/>
      <c r="K56" s="239"/>
      <c r="L56" s="239"/>
      <c r="M56" s="239"/>
      <c r="N56" s="239"/>
      <c r="O56" s="239"/>
      <c r="P56" s="235"/>
    </row>
    <row r="57" spans="3:16">
      <c r="C57" s="233"/>
      <c r="D57" s="213" t="s">
        <v>0</v>
      </c>
      <c r="F57" s="408"/>
      <c r="G57" s="409">
        <v>21096.240000000009</v>
      </c>
      <c r="H57" s="252">
        <v>22361.211999999996</v>
      </c>
      <c r="I57" s="252">
        <v>23615.09</v>
      </c>
      <c r="J57" s="252">
        <v>25063.604000000003</v>
      </c>
      <c r="K57" s="252">
        <v>32579.471075199992</v>
      </c>
      <c r="L57" s="252">
        <v>36562.008084975983</v>
      </c>
      <c r="M57" s="252">
        <v>41062.274906022853</v>
      </c>
      <c r="N57" s="252">
        <v>46147.576413805829</v>
      </c>
      <c r="O57" s="252">
        <v>47915.69663035807</v>
      </c>
      <c r="P57" s="243"/>
    </row>
    <row r="58" spans="3:16">
      <c r="C58" s="233"/>
      <c r="D58" s="213" t="s">
        <v>162</v>
      </c>
      <c r="E58" s="237"/>
      <c r="F58" s="408"/>
      <c r="G58" s="410"/>
      <c r="H58" s="240">
        <v>0.30693038701988717</v>
      </c>
      <c r="I58" s="240">
        <v>0.29626693665934889</v>
      </c>
      <c r="J58" s="240">
        <v>0.31432897228854878</v>
      </c>
      <c r="K58" s="240">
        <v>0.36158172993471671</v>
      </c>
      <c r="L58" s="240">
        <v>0.35909887604842178</v>
      </c>
      <c r="M58" s="240">
        <v>0.35690166021984226</v>
      </c>
      <c r="N58" s="240">
        <v>0.35495722143348879</v>
      </c>
      <c r="O58" s="240">
        <v>0.35438194368604692</v>
      </c>
      <c r="P58" s="244"/>
    </row>
    <row r="59" spans="3:16">
      <c r="C59" s="233"/>
      <c r="D59" s="213" t="s">
        <v>161</v>
      </c>
      <c r="E59" s="237"/>
      <c r="F59" s="238"/>
      <c r="G59" s="410"/>
      <c r="H59" s="240">
        <v>5.9961964786141353E-2</v>
      </c>
      <c r="I59" s="240">
        <v>5.6073794211154659E-2</v>
      </c>
      <c r="J59" s="240">
        <v>6.1338491617012769E-2</v>
      </c>
      <c r="K59" s="240">
        <v>0.29987176126785231</v>
      </c>
      <c r="L59" s="240">
        <v>0.12224068956133438</v>
      </c>
      <c r="M59" s="240">
        <v>0.12308587675456795</v>
      </c>
      <c r="N59" s="240">
        <v>0.12384363797235909</v>
      </c>
      <c r="O59" s="240">
        <v>3.831447616441408E-2</v>
      </c>
      <c r="P59" s="244"/>
    </row>
    <row r="60" spans="3:16" ht="4.95" customHeight="1">
      <c r="C60" s="233"/>
      <c r="E60" s="241"/>
      <c r="F60" s="241"/>
      <c r="G60" s="409"/>
      <c r="H60" s="242"/>
      <c r="I60" s="242"/>
      <c r="J60" s="242"/>
      <c r="K60" s="242"/>
      <c r="L60" s="242"/>
      <c r="M60" s="242"/>
      <c r="N60" s="242"/>
      <c r="O60" s="242"/>
      <c r="P60" s="235"/>
    </row>
    <row r="61" spans="3:16" ht="4.95" customHeight="1">
      <c r="C61" s="233"/>
      <c r="G61" s="409"/>
      <c r="H61" s="239"/>
      <c r="I61" s="239"/>
      <c r="J61" s="239"/>
      <c r="K61" s="239"/>
      <c r="L61" s="239"/>
      <c r="M61" s="239"/>
      <c r="N61" s="239"/>
      <c r="O61" s="239"/>
      <c r="P61" s="235"/>
    </row>
    <row r="62" spans="3:16">
      <c r="C62" s="233"/>
      <c r="D62" s="213" t="s">
        <v>47</v>
      </c>
      <c r="F62" s="408"/>
      <c r="G62" s="409">
        <v>11731.909000000009</v>
      </c>
      <c r="H62" s="252">
        <v>13122.581999999995</v>
      </c>
      <c r="I62" s="252">
        <v>14891.290999999999</v>
      </c>
      <c r="J62" s="252">
        <v>14960.459000000003</v>
      </c>
      <c r="K62" s="252">
        <v>20679.267850783996</v>
      </c>
      <c r="L62" s="252">
        <v>24935.267199584305</v>
      </c>
      <c r="M62" s="252">
        <v>29649.869500943372</v>
      </c>
      <c r="N62" s="252">
        <v>34884.038982703438</v>
      </c>
      <c r="O62" s="252">
        <v>37046.729049639609</v>
      </c>
      <c r="P62" s="243"/>
    </row>
    <row r="63" spans="3:16">
      <c r="C63" s="233"/>
      <c r="D63" s="213" t="s">
        <v>162</v>
      </c>
      <c r="E63" s="237"/>
      <c r="F63" s="408"/>
      <c r="G63" s="410"/>
      <c r="H63" s="240">
        <v>0.18012079005199738</v>
      </c>
      <c r="I63" s="240">
        <v>0.1868211032637577</v>
      </c>
      <c r="J63" s="240">
        <v>0.18762288545713418</v>
      </c>
      <c r="K63" s="240">
        <v>0.22950788323146368</v>
      </c>
      <c r="L63" s="240">
        <v>0.2449052143013245</v>
      </c>
      <c r="M63" s="240">
        <v>0.25770826566250998</v>
      </c>
      <c r="N63" s="240">
        <v>0.26832051674058294</v>
      </c>
      <c r="O63" s="240">
        <v>0.27399563756949835</v>
      </c>
      <c r="P63" s="243"/>
    </row>
    <row r="64" spans="3:16">
      <c r="C64" s="233"/>
      <c r="D64" s="213" t="s">
        <v>161</v>
      </c>
      <c r="E64" s="237"/>
      <c r="F64" s="245"/>
      <c r="G64" s="410"/>
      <c r="H64" s="240">
        <v>0.11853765657404813</v>
      </c>
      <c r="I64" s="240">
        <v>0.13478361194466193</v>
      </c>
      <c r="J64" s="240">
        <v>4.6448625575850055E-3</v>
      </c>
      <c r="K64" s="240">
        <v>0.3822615904220581</v>
      </c>
      <c r="L64" s="240">
        <v>0.20580996288217013</v>
      </c>
      <c r="M64" s="240">
        <v>0.18907366276137849</v>
      </c>
      <c r="N64" s="240">
        <v>0.17653263133564656</v>
      </c>
      <c r="O64" s="240">
        <v>6.1996549998367456E-2</v>
      </c>
      <c r="P64" s="243"/>
    </row>
    <row r="65" spans="3:16" ht="4.95" customHeight="1">
      <c r="C65" s="246"/>
      <c r="D65" s="247"/>
      <c r="E65" s="248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9"/>
    </row>
    <row r="66" spans="3:16" ht="4.95" customHeight="1"/>
  </sheetData>
  <printOptions horizontalCentered="1"/>
  <pageMargins left="0.11811023622047245" right="0.11811023622047245" top="0.11811023622047245" bottom="0.19685039370078741" header="0.11811023622047245" footer="0.19685039370078741"/>
  <pageSetup scale="85" orientation="landscape" r:id="rId1"/>
  <headerFooter alignWithMargins="0">
    <oddFooter>&amp;L&amp;9&amp;A&amp;C&amp;9Page &amp;P of &amp;N&amp;R&amp;9Feb 10, 2024    15:27</oddFooter>
  </headerFooter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lineWeight="1" displayEmptyCellsAs="gap" high="1" low="1" xr2:uid="{B716B5D0-35DC-4FF3-B805-E6228E36AE7E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SUMÁRIO!H53:O53</xm:f>
              <xm:sqref>F53</xm:sqref>
            </x14:sparkline>
          </x14:sparklines>
        </x14:sparklineGroup>
        <x14:sparklineGroup manualMax="0" manualMin="0" lineWeight="1" displayEmptyCellsAs="gap" high="1" low="1" xr2:uid="{6B23D716-B956-456D-9BE0-68A95C3F8D0F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SUMÁRIO!H57:O57</xm:f>
              <xm:sqref>F57</xm:sqref>
            </x14:sparkline>
          </x14:sparklines>
        </x14:sparklineGroup>
        <x14:sparklineGroup manualMax="0" manualMin="0" lineWeight="1" displayEmptyCellsAs="gap" high="1" low="1" xr2:uid="{E41F482C-8BF7-4376-B8B7-945AA8F75FA2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SUMÁRIO!H62:O62</xm:f>
              <xm:sqref>F62</xm:sqref>
            </x14:sparkline>
          </x14:sparklines>
        </x14:sparklineGroup>
        <x14:sparklineGroup manualMax="0" manualMin="0" lineWeight="1" displayEmptyCellsAs="gap" high="1" low="1" xr2:uid="{12239EC0-D77C-473C-B0F1-B39BAFBB48CF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SUMÁRIO!H41:O41</xm:f>
              <xm:sqref>F41</xm:sqref>
            </x14:sparkline>
          </x14:sparklines>
        </x14:sparklineGroup>
        <x14:sparklineGroup manualMax="0" manualMin="0" lineWeight="1" displayEmptyCellsAs="gap" high="1" low="1" xr2:uid="{FE34B09D-B0F2-496E-918D-0E8AE4F6868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SUMÁRIO!H36:O36</xm:f>
              <xm:sqref>F36</xm:sqref>
            </x14:sparkline>
          </x14:sparklines>
        </x14:sparklineGroup>
        <x14:sparklineGroup manualMax="0" manualMin="0" lineWeight="1" displayEmptyCellsAs="gap" high="1" low="1" xr2:uid="{D089AF0E-EA40-4D23-8FE6-D5FAB47763E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SUMÁRIO!H32:O32</xm:f>
              <xm:sqref>F32</xm:sqref>
            </x14:sparkline>
          </x14:sparklines>
        </x14:sparklineGroup>
        <x14:sparklineGroup manualMax="0" manualMin="0" lineWeight="1" displayEmptyCellsAs="gap" high="1" low="1" xr2:uid="{9E0BA761-0745-483D-A591-3AF8E85FFBD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SUMÁRIO!H20:O20</xm:f>
              <xm:sqref>F20</xm:sqref>
            </x14:sparkline>
          </x14:sparklines>
        </x14:sparklineGroup>
        <x14:sparklineGroup manualMax="0" manualMin="0" lineWeight="1" displayEmptyCellsAs="gap" high="1" low="1" xr2:uid="{BA592197-F18D-45D1-946E-FE8A002E4D7C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SUMÁRIO!H11:O11</xm:f>
              <xm:sqref>F11</xm:sqref>
            </x14:sparkline>
          </x14:sparklines>
        </x14:sparklineGroup>
        <x14:sparklineGroup manualMax="0" manualMin="0" lineWeight="1" displayEmptyCellsAs="gap" high="1" low="1" xr2:uid="{528DE733-95A4-4062-BC47-66BD07BB3284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SUMÁRIO!H15:O15</xm:f>
              <xm:sqref>F15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9A2F5-221A-43FB-8B71-ADD70C77B78F}">
  <sheetPr codeName="Sheet5"/>
  <dimension ref="A1:N27"/>
  <sheetViews>
    <sheetView showGridLines="0" tabSelected="1" zoomScale="119" workbookViewId="0">
      <pane ySplit="2" topLeftCell="A3" activePane="bottomLeft" state="frozenSplit"/>
      <selection activeCell="B1" sqref="B1"/>
      <selection pane="bottomLeft" activeCell="B1" sqref="B1"/>
    </sheetView>
  </sheetViews>
  <sheetFormatPr defaultRowHeight="13.2" outlineLevelCol="1"/>
  <cols>
    <col min="1" max="2" width="1.6640625" customWidth="1"/>
    <col min="3" max="3" width="11.44140625" customWidth="1"/>
    <col min="4" max="4" width="14.44140625" customWidth="1"/>
    <col min="5" max="5" width="1.88671875" customWidth="1"/>
    <col min="6" max="9" width="10.44140625" hidden="1" customWidth="1" outlineLevel="1"/>
    <col min="10" max="10" width="13.77734375" customWidth="1" collapsed="1"/>
    <col min="11" max="13" width="13.77734375" customWidth="1"/>
    <col min="14" max="14" width="1.6640625" customWidth="1"/>
  </cols>
  <sheetData>
    <row r="1" spans="1:14">
      <c r="A1" s="188"/>
      <c r="B1" s="188"/>
      <c r="C1" s="188" t="s">
        <v>310</v>
      </c>
      <c r="D1" s="390"/>
      <c r="E1" s="390"/>
      <c r="F1" s="388"/>
      <c r="G1" s="388"/>
      <c r="H1" s="388"/>
      <c r="I1" s="388"/>
      <c r="J1" s="390">
        <f>VALUATION!G10</f>
        <v>45607</v>
      </c>
      <c r="K1" s="189" t="s">
        <v>151</v>
      </c>
      <c r="L1" s="388"/>
      <c r="M1" s="389" t="s">
        <v>309</v>
      </c>
      <c r="N1" s="389"/>
    </row>
    <row r="2" spans="1:14">
      <c r="A2" s="188"/>
      <c r="B2" s="188"/>
      <c r="C2" s="393" t="str">
        <f>D8</f>
        <v>BASE</v>
      </c>
      <c r="D2" s="189"/>
      <c r="E2" s="189"/>
      <c r="F2" s="183"/>
      <c r="G2" s="183"/>
      <c r="H2" s="183"/>
      <c r="I2" s="183"/>
      <c r="J2" s="183">
        <f>VALUATION!G12</f>
        <v>12.58</v>
      </c>
      <c r="K2" s="183">
        <f>VALUATION!F67</f>
        <v>13.099227216317967</v>
      </c>
      <c r="L2" s="388"/>
      <c r="M2" s="391">
        <f>K2/J2-1</f>
        <v>4.1274023554687345E-2</v>
      </c>
      <c r="N2" s="391"/>
    </row>
    <row r="4" spans="1:14" ht="22.8">
      <c r="A4" s="1" t="str">
        <f>TITLE</f>
        <v>AMBEV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 ht="17.399999999999999">
      <c r="A5" s="17" t="s">
        <v>308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</row>
    <row r="6" spans="1:14" ht="3" customHeight="1" thickBot="1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</row>
    <row r="7" spans="1:14">
      <c r="E7" s="20"/>
      <c r="F7" s="21"/>
      <c r="G7" s="21"/>
      <c r="J7" s="398" t="s">
        <v>304</v>
      </c>
      <c r="K7" s="10"/>
      <c r="L7" s="10"/>
      <c r="M7" s="10"/>
    </row>
    <row r="8" spans="1:14">
      <c r="B8" s="28" t="s">
        <v>311</v>
      </c>
      <c r="D8" s="198" t="s">
        <v>303</v>
      </c>
      <c r="F8" s="51" cm="1">
        <f t="array" ref="F8:I8">MODELO!H19:K19</f>
        <v>2020</v>
      </c>
      <c r="G8" s="51">
        <v>2021</v>
      </c>
      <c r="H8" s="51">
        <v>2022</v>
      </c>
      <c r="I8" s="51">
        <v>2023</v>
      </c>
      <c r="J8" s="394" t="s">
        <v>303</v>
      </c>
      <c r="K8" s="395" t="s">
        <v>307</v>
      </c>
      <c r="L8" s="394" t="s">
        <v>305</v>
      </c>
      <c r="M8" s="394" t="s">
        <v>306</v>
      </c>
    </row>
    <row r="9" spans="1:14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</row>
    <row r="10" spans="1:14">
      <c r="A10" s="23" t="s">
        <v>13</v>
      </c>
      <c r="B10" s="23"/>
      <c r="J10" s="76"/>
      <c r="K10" s="76"/>
      <c r="L10" s="76"/>
      <c r="M10" s="76"/>
    </row>
    <row r="11" spans="1:14">
      <c r="B11" t="s">
        <v>15</v>
      </c>
      <c r="E11" s="25"/>
      <c r="F11" s="88" cm="1">
        <f t="array" ref="F11:I11">MODELO!H22:K22</f>
        <v>0</v>
      </c>
      <c r="G11" s="88">
        <v>-0.19868889355451469</v>
      </c>
      <c r="H11" s="88">
        <v>0.36536826301994418</v>
      </c>
      <c r="I11" s="88">
        <v>3.5164235950935208E-4</v>
      </c>
      <c r="J11" s="195">
        <v>0.08</v>
      </c>
      <c r="K11" s="195">
        <v>3.5000000000000003E-2</v>
      </c>
      <c r="L11" s="195">
        <v>0.13</v>
      </c>
      <c r="M11" s="195">
        <v>0.04</v>
      </c>
    </row>
    <row r="12" spans="1:14">
      <c r="B12" t="s">
        <v>14</v>
      </c>
      <c r="E12" s="25"/>
      <c r="F12" s="89" cm="1">
        <f t="array" ref="F12:I12">MODELO!H23:K23</f>
        <v>0.41539124969679231</v>
      </c>
      <c r="G12" s="89">
        <v>0.3751134975859039</v>
      </c>
      <c r="H12" s="89">
        <v>0.4323965148803407</v>
      </c>
      <c r="I12" s="89">
        <v>0.41227683970885431</v>
      </c>
      <c r="J12" s="194">
        <f>AVERAGE(G12:I12)</f>
        <v>0.40659561739169964</v>
      </c>
      <c r="K12" s="194">
        <v>0.42</v>
      </c>
      <c r="L12" s="194">
        <v>0.38</v>
      </c>
      <c r="M12" s="194">
        <v>0.41</v>
      </c>
    </row>
    <row r="13" spans="1:14">
      <c r="B13" t="s">
        <v>6</v>
      </c>
      <c r="E13" s="25"/>
      <c r="F13" s="89" cm="1">
        <f t="array" ref="F13:I13">MODELO!H24:K24</f>
        <v>0.24113959491557566</v>
      </c>
      <c r="G13" s="89">
        <v>0.37420383821269959</v>
      </c>
      <c r="H13" s="89">
        <v>0.30071256725431422</v>
      </c>
      <c r="I13" s="89">
        <v>0.29392579762613158</v>
      </c>
      <c r="J13" s="194">
        <f>AVERAGE(G13:I13)</f>
        <v>0.32294740103104846</v>
      </c>
      <c r="K13" s="194">
        <v>0.35</v>
      </c>
      <c r="L13" s="194">
        <v>0.28000000000000003</v>
      </c>
      <c r="M13" s="194">
        <v>0.28999999999999998</v>
      </c>
    </row>
    <row r="14" spans="1:14">
      <c r="B14" t="s">
        <v>17</v>
      </c>
      <c r="E14" s="25"/>
      <c r="F14" s="89" cm="1">
        <f t="array" ref="F14:I14">MODELO!H25:K25</f>
        <v>0.1597379893252048</v>
      </c>
      <c r="G14" s="89">
        <v>0.14234293549309746</v>
      </c>
      <c r="H14" s="89">
        <v>0.15164364912323938</v>
      </c>
      <c r="I14" s="89">
        <v>0.17500903757643901</v>
      </c>
      <c r="J14" s="194">
        <f>AVERAGE(G14:I14)</f>
        <v>0.15633187406425864</v>
      </c>
      <c r="K14" s="194">
        <v>0.17</v>
      </c>
      <c r="L14" s="194">
        <v>0.18</v>
      </c>
      <c r="M14" s="194">
        <v>0.17</v>
      </c>
    </row>
    <row r="15" spans="1:14">
      <c r="B15" t="s">
        <v>18</v>
      </c>
      <c r="E15" s="25"/>
      <c r="F15" s="89" cm="1">
        <f t="array" ref="F15:I15">MODELO!H26:K26</f>
        <v>0.50799941071251198</v>
      </c>
      <c r="G15" s="89">
        <v>1.0338139617690429</v>
      </c>
      <c r="H15" s="89">
        <v>0.89027994181608616</v>
      </c>
      <c r="I15" s="89">
        <v>1.0310436878367903</v>
      </c>
      <c r="J15" s="194">
        <v>1.05</v>
      </c>
      <c r="K15" s="194">
        <v>1.05</v>
      </c>
      <c r="L15" s="194">
        <v>1</v>
      </c>
      <c r="M15" s="194">
        <v>1.05</v>
      </c>
    </row>
    <row r="16" spans="1:14">
      <c r="A16" s="27"/>
      <c r="B16" s="27" t="s">
        <v>11</v>
      </c>
      <c r="C16" s="27"/>
      <c r="D16" s="27"/>
      <c r="E16" s="87"/>
      <c r="F16" s="90" cm="1">
        <f t="array" ref="F16:I16">MODELO!H27:K27</f>
        <v>0.13061170892517882</v>
      </c>
      <c r="G16" s="90">
        <v>4.6265760409792474E-2</v>
      </c>
      <c r="H16" s="90">
        <v>-4.6054804585945019E-2</v>
      </c>
      <c r="I16" s="90">
        <v>5.0200386540515578E-3</v>
      </c>
      <c r="J16" s="191">
        <v>0.08</v>
      </c>
      <c r="K16" s="191">
        <v>0.1</v>
      </c>
      <c r="L16" s="191">
        <v>0.08</v>
      </c>
      <c r="M16" s="191">
        <v>0.08</v>
      </c>
    </row>
    <row r="17" spans="1:13">
      <c r="A17" s="28" t="s">
        <v>24</v>
      </c>
      <c r="E17" s="25"/>
      <c r="J17" s="383"/>
      <c r="K17" s="383"/>
      <c r="L17" s="383"/>
      <c r="M17" s="383"/>
    </row>
    <row r="18" spans="1:13">
      <c r="B18" t="s">
        <v>19</v>
      </c>
      <c r="E18" s="25"/>
      <c r="F18" s="91" cm="1">
        <f t="array" ref="F18:I18">MODELO!H29:K29</f>
        <v>21.558705819930243</v>
      </c>
      <c r="G18" s="91">
        <v>29.958487808842886</v>
      </c>
      <c r="H18" s="91">
        <v>24.494443068394418</v>
      </c>
      <c r="I18" s="91">
        <v>26.281846439995075</v>
      </c>
      <c r="J18" s="192">
        <f>AVERAGE(H18:I18)</f>
        <v>25.388144754194748</v>
      </c>
      <c r="K18" s="192">
        <v>40</v>
      </c>
      <c r="L18" s="192">
        <v>24</v>
      </c>
      <c r="M18" s="192">
        <v>32</v>
      </c>
    </row>
    <row r="19" spans="1:13">
      <c r="B19" t="s">
        <v>20</v>
      </c>
      <c r="E19" s="25"/>
      <c r="F19" s="91" cm="1">
        <f t="array" ref="F19:I19">MODELO!H30:K30</f>
        <v>91.734133964060533</v>
      </c>
      <c r="G19" s="91">
        <v>183.34957353043319</v>
      </c>
      <c r="H19" s="91">
        <v>136.85745071080422</v>
      </c>
      <c r="I19" s="91">
        <v>106.80110267007394</v>
      </c>
      <c r="J19" s="192">
        <f>AVERAGE(H19:I19)</f>
        <v>121.82927669043909</v>
      </c>
      <c r="K19" s="192">
        <v>190</v>
      </c>
      <c r="L19" s="192">
        <v>110</v>
      </c>
      <c r="M19" s="192">
        <v>130</v>
      </c>
    </row>
    <row r="20" spans="1:13">
      <c r="B20" t="s">
        <v>21</v>
      </c>
      <c r="E20" s="25"/>
      <c r="F20" s="91" cm="1">
        <f t="array" ref="F20:I20">MODELO!H31:K31</f>
        <v>-252.3217826275779</v>
      </c>
      <c r="G20" s="91">
        <v>-468.93370370152206</v>
      </c>
      <c r="H20" s="91">
        <v>-287.77585206955331</v>
      </c>
      <c r="I20" s="91">
        <v>-284.5833504569722</v>
      </c>
      <c r="J20" s="192">
        <f>AVERAGE(H20:I20)</f>
        <v>-286.17960126326273</v>
      </c>
      <c r="K20" s="192">
        <v>-230</v>
      </c>
      <c r="L20" s="192">
        <v>-300</v>
      </c>
      <c r="M20" s="192">
        <v>-270</v>
      </c>
    </row>
    <row r="21" spans="1:13">
      <c r="A21" s="27"/>
      <c r="B21" s="27" t="s">
        <v>26</v>
      </c>
      <c r="C21" s="27"/>
      <c r="D21" s="27"/>
      <c r="E21" s="87"/>
      <c r="F21" s="92" cm="1">
        <f t="array" ref="F21:I21">MODELO!H32:K32</f>
        <v>2184.0610000000001</v>
      </c>
      <c r="G21" s="92">
        <v>1615.5690000000002</v>
      </c>
      <c r="H21" s="92">
        <v>2341.5279999999998</v>
      </c>
      <c r="I21" s="92">
        <v>1637.126</v>
      </c>
      <c r="J21" s="193">
        <f>AVERAGE(_xlfn.ANCHORARRAY(F21))</f>
        <v>1944.5709999999999</v>
      </c>
      <c r="K21" s="193">
        <f>J21</f>
        <v>1944.5709999999999</v>
      </c>
      <c r="L21" s="193">
        <f>K21</f>
        <v>1944.5709999999999</v>
      </c>
      <c r="M21" s="193">
        <f>L21</f>
        <v>1944.5709999999999</v>
      </c>
    </row>
    <row r="22" spans="1:13">
      <c r="A22" s="28" t="s">
        <v>25</v>
      </c>
      <c r="E22" s="25"/>
      <c r="J22" s="383"/>
      <c r="K22" s="383"/>
      <c r="L22" s="383"/>
      <c r="M22" s="383"/>
    </row>
    <row r="23" spans="1:13">
      <c r="A23" s="28"/>
      <c r="B23" t="s">
        <v>4</v>
      </c>
      <c r="E23" s="25"/>
      <c r="F23" s="91" cm="1">
        <f t="array" ref="F23:I23">MODELO!H34:K34</f>
        <v>-5124.2019999999993</v>
      </c>
      <c r="G23" s="91">
        <v>-7810.8980000000001</v>
      </c>
      <c r="H23" s="91">
        <v>-6536.027</v>
      </c>
      <c r="I23" s="91">
        <v>-6050.6280000000006</v>
      </c>
      <c r="J23" s="91">
        <f>J24*MODELO!$L$57</f>
        <v>-6592.9329027734411</v>
      </c>
      <c r="K23" s="91">
        <f>K24*MODELO!$L$57</f>
        <v>-5732.9851328464711</v>
      </c>
      <c r="L23" s="91">
        <f>L24*MODELO!$L$57</f>
        <v>-7452.880672700413</v>
      </c>
      <c r="M23" s="91">
        <f>M24*MODELO!$L$57</f>
        <v>-5732.9851328464711</v>
      </c>
    </row>
    <row r="24" spans="1:13">
      <c r="B24" t="s">
        <v>152</v>
      </c>
      <c r="C24" s="84"/>
      <c r="E24" s="25"/>
      <c r="F24" s="89" cm="1">
        <f t="array" ref="F24:I24">MODELO!H35:K35</f>
        <v>0.99164987856444775</v>
      </c>
      <c r="G24" s="89">
        <v>1.4473505689694437</v>
      </c>
      <c r="H24" s="89">
        <v>1.0973392654774397</v>
      </c>
      <c r="I24" s="89">
        <v>0.94277204174815743</v>
      </c>
      <c r="J24" s="194">
        <v>1.1499999999999999</v>
      </c>
      <c r="K24" s="194">
        <v>1</v>
      </c>
      <c r="L24" s="194">
        <v>1.3</v>
      </c>
      <c r="M24" s="194">
        <v>1</v>
      </c>
    </row>
    <row r="25" spans="1:13">
      <c r="B25" t="s">
        <v>29</v>
      </c>
      <c r="C25" s="84"/>
      <c r="E25" s="25"/>
      <c r="F25" s="91" cm="1">
        <f t="array" ref="F25:I25">MODELO!H36:K36</f>
        <v>1724.9839999999999</v>
      </c>
      <c r="G25" s="91">
        <v>-2537.2829999999999</v>
      </c>
      <c r="H25" s="91">
        <v>-194.04800000000023</v>
      </c>
      <c r="I25" s="91">
        <v>-1406.623</v>
      </c>
      <c r="J25" s="192">
        <v>-400</v>
      </c>
      <c r="K25" s="192">
        <v>0</v>
      </c>
      <c r="L25" s="192">
        <v>-1000</v>
      </c>
      <c r="M25" s="192">
        <v>-1000</v>
      </c>
    </row>
    <row r="26" spans="1:13">
      <c r="B26" t="s">
        <v>27</v>
      </c>
      <c r="C26" s="84"/>
      <c r="E26" s="25"/>
      <c r="F26" s="91" cm="1">
        <f t="array" ref="F26:I26">MODELO!H37:K37</f>
        <v>-7.3949999999999996</v>
      </c>
      <c r="G26" s="91">
        <v>-44.164999999999999</v>
      </c>
      <c r="H26" s="91">
        <v>-54.082000000000001</v>
      </c>
      <c r="I26" s="91">
        <v>-118.989</v>
      </c>
      <c r="J26" s="192">
        <v>-56</v>
      </c>
      <c r="K26" s="192">
        <v>0</v>
      </c>
      <c r="L26" s="192">
        <v>0</v>
      </c>
      <c r="M26" s="192">
        <v>0</v>
      </c>
    </row>
    <row r="27" spans="1:13">
      <c r="B27" t="s">
        <v>79</v>
      </c>
      <c r="E27" s="25"/>
      <c r="F27" s="89" cm="1">
        <f t="array" ref="F27:I27">MODELO!H38:K38</f>
        <v>0.58390079568465747</v>
      </c>
      <c r="G27" s="89">
        <v>0.84703231421986958</v>
      </c>
      <c r="H27" s="89">
        <v>0.82211300551443134</v>
      </c>
      <c r="I27" s="89">
        <v>0.79689727434164948</v>
      </c>
      <c r="J27" s="194">
        <v>0.82</v>
      </c>
      <c r="K27" s="194">
        <v>0.7</v>
      </c>
      <c r="L27" s="194">
        <v>0.85</v>
      </c>
      <c r="M27" s="194">
        <v>0.81</v>
      </c>
    </row>
  </sheetData>
  <dataValidations count="1">
    <dataValidation type="list" allowBlank="1" showInputMessage="1" showErrorMessage="1" sqref="D8" xr:uid="{E2362A53-A519-4595-8DA3-88487A43F11C}">
      <formula1>$J$8:$M$8</formula1>
    </dataValidation>
  </dataValidations>
  <printOptions horizontalCentered="1"/>
  <pageMargins left="0.11811023622047245" right="0.11811023622047245" top="0.11811023622047245" bottom="0.19685039370078741" header="0.11811023622047245" footer="0.19685039370078741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D561B-321E-48A2-861D-DBBEF6346C24}">
  <sheetPr codeName="Sheet3"/>
  <dimension ref="A1:R168"/>
  <sheetViews>
    <sheetView showGridLines="0" tabSelected="1" zoomScale="112" zoomScaleNormal="130" zoomScaleSheetLayoutView="64" workbookViewId="0">
      <pane ySplit="2" topLeftCell="A130" activePane="bottomLeft" state="frozenSplit"/>
      <selection activeCell="B1" sqref="B1"/>
      <selection pane="bottomLeft" activeCell="B1" sqref="B1"/>
    </sheetView>
  </sheetViews>
  <sheetFormatPr defaultRowHeight="13.2"/>
  <cols>
    <col min="1" max="1" width="3.5546875" customWidth="1"/>
    <col min="2" max="3" width="1.6640625" customWidth="1"/>
    <col min="4" max="4" width="11.44140625" customWidth="1"/>
    <col min="5" max="5" width="14.44140625" customWidth="1"/>
    <col min="6" max="6" width="10.44140625" customWidth="1"/>
    <col min="7" max="7" width="1.88671875" customWidth="1"/>
    <col min="8" max="16" width="10.6640625" customWidth="1"/>
    <col min="17" max="17" width="0.21875" customWidth="1"/>
  </cols>
  <sheetData>
    <row r="1" spans="1:18">
      <c r="B1" s="392" t="str">
        <f>LEFT(CENARIOS!D8,2)</f>
        <v>BA</v>
      </c>
      <c r="C1" s="181"/>
      <c r="D1" s="188">
        <f>VALUATION!G10</f>
        <v>45607</v>
      </c>
      <c r="E1" s="181">
        <f>VALUATION!G12</f>
        <v>12.58</v>
      </c>
      <c r="F1" s="184">
        <f>E2/E1-1</f>
        <v>4.1274023554687345E-2</v>
      </c>
      <c r="G1" s="181"/>
      <c r="H1" s="190">
        <f>I1-1</f>
        <v>2020</v>
      </c>
      <c r="I1" s="190">
        <f>J1-1</f>
        <v>2021</v>
      </c>
      <c r="J1" s="190">
        <f>K1-1</f>
        <v>2022</v>
      </c>
      <c r="K1" s="190">
        <f>L1-1</f>
        <v>2023</v>
      </c>
      <c r="L1" s="186">
        <f>L19</f>
        <v>2024</v>
      </c>
      <c r="M1" s="186">
        <f>L1+1</f>
        <v>2025</v>
      </c>
      <c r="N1" s="186">
        <f>M1+1</f>
        <v>2026</v>
      </c>
      <c r="O1" s="186">
        <f>N1+1</f>
        <v>2027</v>
      </c>
      <c r="P1" s="186">
        <f>O1+1</f>
        <v>2028</v>
      </c>
      <c r="Q1" s="181"/>
    </row>
    <row r="2" spans="1:18">
      <c r="B2" s="181"/>
      <c r="C2" s="181"/>
      <c r="D2" s="181" t="s">
        <v>151</v>
      </c>
      <c r="E2" s="183">
        <f>VALUATION!F67</f>
        <v>13.099227216317967</v>
      </c>
      <c r="F2" s="189" t="s">
        <v>74</v>
      </c>
      <c r="G2" s="181"/>
      <c r="H2" s="181" t="str">
        <f>IFERROR(IF(ABS(H111)&gt;1,"ERROR","OK"),"OK")</f>
        <v>OK</v>
      </c>
      <c r="I2" s="181" t="str">
        <f t="shared" ref="I2:P2" si="0">IFERROR(IF(ABS(I111)&gt;1,"ERROR","OK"),"OK")</f>
        <v>OK</v>
      </c>
      <c r="J2" s="181" t="str">
        <f t="shared" si="0"/>
        <v>OK</v>
      </c>
      <c r="K2" s="181" t="str">
        <f t="shared" si="0"/>
        <v>OK</v>
      </c>
      <c r="L2" s="181" t="str">
        <f t="shared" si="0"/>
        <v>OK</v>
      </c>
      <c r="M2" s="181" t="str">
        <f t="shared" si="0"/>
        <v>OK</v>
      </c>
      <c r="N2" s="181" t="str">
        <f t="shared" si="0"/>
        <v>OK</v>
      </c>
      <c r="O2" s="181" t="str">
        <f t="shared" si="0"/>
        <v>OK</v>
      </c>
      <c r="P2" s="181" t="str">
        <f t="shared" si="0"/>
        <v>OK</v>
      </c>
      <c r="Q2" s="181"/>
    </row>
    <row r="3" spans="1:18">
      <c r="B3" s="81"/>
      <c r="C3" s="81"/>
      <c r="D3" s="81"/>
      <c r="E3" s="81"/>
      <c r="F3" s="83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8" ht="12.75" customHeight="1">
      <c r="N4" s="30"/>
      <c r="Q4" s="30" t="str">
        <f>UPPER("Modelo Atual: Cenário "&amp;CENARIOS!D8)</f>
        <v>MODELO ATUAL: CENÁRIO BASE</v>
      </c>
    </row>
    <row r="5" spans="1:18" ht="22.8">
      <c r="B5" s="1" t="str">
        <f>TITLE</f>
        <v>AMBEV</v>
      </c>
      <c r="C5" s="2"/>
      <c r="D5" s="2"/>
      <c r="E5" s="2"/>
      <c r="F5" s="16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8" ht="17.399999999999999">
      <c r="B6" s="17" t="s">
        <v>9</v>
      </c>
      <c r="C6" s="18"/>
      <c r="D6" s="18"/>
      <c r="E6" s="18"/>
      <c r="F6" s="19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1:18" ht="3" customHeight="1" thickBot="1">
      <c r="B7" s="52"/>
      <c r="C7" s="53"/>
      <c r="D7" s="53"/>
      <c r="E7" s="53"/>
      <c r="F7" s="54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</row>
    <row r="8" spans="1:18" ht="17.399999999999999">
      <c r="B8" s="34" t="s">
        <v>35</v>
      </c>
      <c r="C8" s="18"/>
      <c r="D8" s="18"/>
      <c r="E8" s="30"/>
      <c r="F8" s="30"/>
      <c r="H8" s="30"/>
      <c r="I8" s="18"/>
      <c r="J8" s="18"/>
      <c r="K8" s="18"/>
      <c r="L8" s="18"/>
      <c r="M8" s="18"/>
      <c r="N8" s="18"/>
      <c r="O8" s="18"/>
      <c r="P8" s="18"/>
    </row>
    <row r="9" spans="1:18" ht="17.399999999999999">
      <c r="B9" s="34"/>
      <c r="C9" s="18"/>
      <c r="D9" s="18"/>
      <c r="E9" s="30"/>
      <c r="F9" s="30"/>
      <c r="H9" s="30"/>
      <c r="I9" s="18"/>
      <c r="J9" s="18"/>
      <c r="K9" s="18"/>
      <c r="L9" s="18"/>
      <c r="M9" s="18"/>
      <c r="N9" s="18"/>
      <c r="O9" s="18"/>
      <c r="P9" s="18"/>
    </row>
    <row r="10" spans="1:18">
      <c r="B10" s="28" t="s">
        <v>105</v>
      </c>
      <c r="K10" s="28" t="str">
        <f xml:space="preserve"> "Resultados do " &amp; R10 &amp; "º Trimestre de " &amp;YEAR(H12)</f>
        <v>Resultados do 3º Trimestre de 2024</v>
      </c>
      <c r="R10" s="271">
        <v>3</v>
      </c>
    </row>
    <row r="11" spans="1:18" ht="3" customHeight="1">
      <c r="B11" s="28"/>
      <c r="K11" s="28"/>
    </row>
    <row r="12" spans="1:18">
      <c r="A12" s="137"/>
      <c r="C12" s="141" t="s">
        <v>99</v>
      </c>
      <c r="H12" s="200">
        <v>45607</v>
      </c>
      <c r="K12" s="158" t="s">
        <v>116</v>
      </c>
      <c r="L12" s="12"/>
      <c r="P12" s="136">
        <f>1211.1+2169.2</f>
        <v>3380.2999999999997</v>
      </c>
    </row>
    <row r="13" spans="1:18">
      <c r="C13" s="141" t="s">
        <v>101</v>
      </c>
      <c r="H13" s="207">
        <v>15757.656999999999</v>
      </c>
      <c r="K13" s="158" t="s">
        <v>117</v>
      </c>
      <c r="L13" s="12"/>
      <c r="P13" s="146">
        <v>743.7</v>
      </c>
    </row>
    <row r="14" spans="1:18">
      <c r="C14" s="141" t="s">
        <v>100</v>
      </c>
      <c r="H14" s="269">
        <v>12.58</v>
      </c>
      <c r="K14" s="158" t="s">
        <v>118</v>
      </c>
      <c r="L14" s="12"/>
      <c r="P14" s="143">
        <f>19784.4+1154.7+248</f>
        <v>21187.100000000002</v>
      </c>
    </row>
    <row r="15" spans="1:18">
      <c r="C15" s="265" t="s">
        <v>312</v>
      </c>
      <c r="D15" s="396"/>
      <c r="E15" s="396"/>
      <c r="F15" s="396"/>
      <c r="G15" s="396"/>
      <c r="H15" s="397">
        <f>H13*H14</f>
        <v>198231.32506</v>
      </c>
      <c r="I15" s="396"/>
      <c r="J15" s="396"/>
      <c r="K15" s="197" t="s">
        <v>114</v>
      </c>
      <c r="L15" s="396"/>
      <c r="M15" s="396"/>
      <c r="N15" s="396"/>
      <c r="O15" s="396"/>
      <c r="P15" s="397">
        <f>SUM(H15,P12:P13)-P14</f>
        <v>181168.22506</v>
      </c>
    </row>
    <row r="16" spans="1:18" ht="17.399999999999999">
      <c r="B16" s="34"/>
      <c r="C16" s="18"/>
      <c r="D16" s="18"/>
      <c r="E16" s="30"/>
      <c r="F16" s="30"/>
      <c r="H16" s="30"/>
      <c r="I16" s="18"/>
      <c r="J16" s="18"/>
      <c r="K16" s="18"/>
      <c r="L16" s="18"/>
      <c r="M16" s="18"/>
      <c r="N16" s="18"/>
      <c r="O16" s="18"/>
      <c r="P16" s="18"/>
    </row>
    <row r="17" spans="2:16" ht="3" customHeight="1">
      <c r="B17" s="204"/>
      <c r="C17" s="205"/>
      <c r="D17" s="205"/>
      <c r="E17" s="206"/>
      <c r="F17" s="206"/>
      <c r="G17" s="33"/>
      <c r="H17" s="206"/>
      <c r="I17" s="205"/>
      <c r="J17" s="205"/>
      <c r="K17" s="205"/>
      <c r="L17" s="205"/>
      <c r="M17" s="205"/>
      <c r="N17" s="205"/>
      <c r="O17" s="205"/>
      <c r="P17" s="205"/>
    </row>
    <row r="18" spans="2:16">
      <c r="F18" s="20"/>
      <c r="G18" s="21"/>
      <c r="H18" s="21"/>
      <c r="L18" s="22" t="s">
        <v>23</v>
      </c>
      <c r="M18" s="10"/>
      <c r="N18" s="10"/>
      <c r="O18" s="10"/>
      <c r="P18" s="10"/>
    </row>
    <row r="19" spans="2:16">
      <c r="B19" s="197" t="s">
        <v>155</v>
      </c>
      <c r="C19" s="196"/>
      <c r="E19" s="399" t="str">
        <f>CENARIOS!D8</f>
        <v>BASE</v>
      </c>
      <c r="G19" s="11"/>
      <c r="H19" s="51">
        <f>I19-1</f>
        <v>2020</v>
      </c>
      <c r="I19" s="51">
        <f>J19-1</f>
        <v>2021</v>
      </c>
      <c r="J19" s="51">
        <f>K19-1</f>
        <v>2022</v>
      </c>
      <c r="K19" s="51">
        <f>L19-1</f>
        <v>2023</v>
      </c>
      <c r="L19" s="28">
        <f>YEAR(model_date)</f>
        <v>2024</v>
      </c>
      <c r="M19" s="28">
        <f>L19+1</f>
        <v>2025</v>
      </c>
      <c r="N19" s="28">
        <f>M19+1</f>
        <v>2026</v>
      </c>
      <c r="O19" s="28">
        <f>N19+1</f>
        <v>2027</v>
      </c>
      <c r="P19" s="28">
        <f>O19+1</f>
        <v>2028</v>
      </c>
    </row>
    <row r="20" spans="2:16"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</row>
    <row r="21" spans="2:16" ht="18" customHeight="1">
      <c r="B21" s="23" t="s">
        <v>13</v>
      </c>
      <c r="C21" s="23"/>
      <c r="L21" s="76"/>
      <c r="M21" s="76"/>
      <c r="N21" s="76"/>
      <c r="O21" s="76"/>
      <c r="P21" s="76"/>
    </row>
    <row r="22" spans="2:16">
      <c r="C22" t="s">
        <v>15</v>
      </c>
      <c r="F22" s="25" t="s">
        <v>16</v>
      </c>
      <c r="H22" s="88"/>
      <c r="I22" s="88">
        <f>IFERROR(H49/I49-1,"")</f>
        <v>-0.19868889355451469</v>
      </c>
      <c r="J22" s="88">
        <f>IFERROR(J49/H49-1,"")</f>
        <v>0.36536826301994418</v>
      </c>
      <c r="K22" s="88">
        <f>IFERROR(K49/J49-1,"")</f>
        <v>3.5164235950935208E-4</v>
      </c>
      <c r="L22" s="380">
        <f>_xlfn.XLOOKUP(CENARIOS!$D$8,CENARIOS!$J$8:$M$8,CENARIOS!J11:M11)</f>
        <v>0.08</v>
      </c>
      <c r="M22" s="88">
        <f>L22</f>
        <v>0.08</v>
      </c>
      <c r="N22" s="88">
        <f t="shared" ref="M22:P24" si="1">M22</f>
        <v>0.08</v>
      </c>
      <c r="O22" s="88">
        <f t="shared" si="1"/>
        <v>0.08</v>
      </c>
      <c r="P22" s="380">
        <f>VALUATION!P25</f>
        <v>0.04</v>
      </c>
    </row>
    <row r="23" spans="2:16">
      <c r="C23" t="s">
        <v>14</v>
      </c>
      <c r="F23" s="25" t="s">
        <v>30</v>
      </c>
      <c r="H23" s="89">
        <f>IFERROR(-I50/I49,"")</f>
        <v>0.41539124969679231</v>
      </c>
      <c r="I23" s="89">
        <f>IFERROR(-H50/H49,"")</f>
        <v>0.3751134975859039</v>
      </c>
      <c r="J23" s="89">
        <f>IFERROR(-J50/J49,"")</f>
        <v>0.4323965148803407</v>
      </c>
      <c r="K23" s="89">
        <f>IFERROR(-K50/K49,"")</f>
        <v>0.41227683970885431</v>
      </c>
      <c r="L23" s="384">
        <f>_xlfn.XLOOKUP(CENARIOS!$D$8,CENARIOS!$J$8:$M$8,CENARIOS!J12:M12)</f>
        <v>0.40659561739169964</v>
      </c>
      <c r="M23" s="89">
        <f t="shared" si="1"/>
        <v>0.40659561739169964</v>
      </c>
      <c r="N23" s="89">
        <f t="shared" si="1"/>
        <v>0.40659561739169964</v>
      </c>
      <c r="O23" s="89">
        <f t="shared" si="1"/>
        <v>0.40659561739169964</v>
      </c>
      <c r="P23" s="89">
        <f t="shared" si="1"/>
        <v>0.40659561739169964</v>
      </c>
    </row>
    <row r="24" spans="2:16">
      <c r="C24" t="s">
        <v>6</v>
      </c>
      <c r="F24" s="25" t="s">
        <v>30</v>
      </c>
      <c r="G24" s="14"/>
      <c r="H24" s="89">
        <f>IFERROR(-H53/I49,"")</f>
        <v>0.24113959491557566</v>
      </c>
      <c r="I24" s="89">
        <f>IFERROR(-I53/H49,"")</f>
        <v>0.37420383821269959</v>
      </c>
      <c r="J24" s="89">
        <f>IFERROR(-J53/J49,"")</f>
        <v>0.30071256725431422</v>
      </c>
      <c r="K24" s="89">
        <f>IFERROR(-K53/K49,"")</f>
        <v>0.29392579762613158</v>
      </c>
      <c r="L24" s="384">
        <f>_xlfn.XLOOKUP(CENARIOS!$D$8,CENARIOS!$J$8:$M$8,CENARIOS!J13:M13)</f>
        <v>0.32294740103104846</v>
      </c>
      <c r="M24" s="89">
        <f t="shared" si="1"/>
        <v>0.32294740103104846</v>
      </c>
      <c r="N24" s="89">
        <f t="shared" si="1"/>
        <v>0.32294740103104846</v>
      </c>
      <c r="O24" s="89">
        <f t="shared" si="1"/>
        <v>0.32294740103104846</v>
      </c>
      <c r="P24" s="89">
        <f t="shared" si="1"/>
        <v>0.32294740103104846</v>
      </c>
    </row>
    <row r="25" spans="2:16">
      <c r="C25" t="s">
        <v>17</v>
      </c>
      <c r="F25" s="25" t="s">
        <v>31</v>
      </c>
      <c r="G25" s="14"/>
      <c r="H25" s="89">
        <f>IFERROR(-H57/H90,"")</f>
        <v>0.1597379893252048</v>
      </c>
      <c r="I25" s="89">
        <f>IFERROR(-I57/I90,"")</f>
        <v>0.14234293549309746</v>
      </c>
      <c r="J25" s="89">
        <f>IFERROR(-J57/J90,"")</f>
        <v>0.15164364912323938</v>
      </c>
      <c r="K25" s="89">
        <f>IFERROR(-K57/K90,"")</f>
        <v>0.17500903757643901</v>
      </c>
      <c r="L25" s="384">
        <f>_xlfn.XLOOKUP(CENARIOS!$D$8,CENARIOS!$J$8:$M$8,CENARIOS!J14:M14)</f>
        <v>0.15633187406425864</v>
      </c>
      <c r="M25" s="89">
        <f t="shared" ref="M25:P27" si="2">L25</f>
        <v>0.15633187406425864</v>
      </c>
      <c r="N25" s="89">
        <f t="shared" si="2"/>
        <v>0.15633187406425864</v>
      </c>
      <c r="O25" s="89">
        <f t="shared" si="2"/>
        <v>0.15633187406425864</v>
      </c>
      <c r="P25" s="89">
        <f t="shared" si="2"/>
        <v>0.15633187406425864</v>
      </c>
    </row>
    <row r="26" spans="2:16">
      <c r="C26" t="s">
        <v>18</v>
      </c>
      <c r="F26" s="25" t="s">
        <v>32</v>
      </c>
      <c r="G26" s="14"/>
      <c r="H26" s="89">
        <f>IFERROR(-H60/H97,"")</f>
        <v>0.50799941071251198</v>
      </c>
      <c r="I26" s="89">
        <f>IFERROR(-I60/I97,"")</f>
        <v>1.0338139617690429</v>
      </c>
      <c r="J26" s="89">
        <f>IFERROR(-J60/J97,"")</f>
        <v>0.89027994181608616</v>
      </c>
      <c r="K26" s="89">
        <f>IFERROR(-K60/K97,"")</f>
        <v>1.0310436878367903</v>
      </c>
      <c r="L26" s="384">
        <f>_xlfn.XLOOKUP(CENARIOS!$D$8,CENARIOS!$J$8:$M$8,CENARIOS!J15:M15)</f>
        <v>1.05</v>
      </c>
      <c r="M26" s="89">
        <f t="shared" si="2"/>
        <v>1.05</v>
      </c>
      <c r="N26" s="89">
        <f t="shared" si="2"/>
        <v>1.05</v>
      </c>
      <c r="O26" s="89">
        <f t="shared" si="2"/>
        <v>1.05</v>
      </c>
      <c r="P26" s="89">
        <f t="shared" si="2"/>
        <v>1.05</v>
      </c>
    </row>
    <row r="27" spans="2:16">
      <c r="B27" s="27"/>
      <c r="C27" s="27" t="s">
        <v>11</v>
      </c>
      <c r="D27" s="27"/>
      <c r="E27" s="27"/>
      <c r="F27" s="87" t="s">
        <v>33</v>
      </c>
      <c r="G27" s="15"/>
      <c r="H27" s="90">
        <f>IFERROR(-H63/H61,"")</f>
        <v>0.13061170892517882</v>
      </c>
      <c r="I27" s="90">
        <f>IFERROR(-I63/I61,"")</f>
        <v>4.6265760409792474E-2</v>
      </c>
      <c r="J27" s="90">
        <f>IFERROR(-J63/J61,"")</f>
        <v>-4.6054804585945019E-2</v>
      </c>
      <c r="K27" s="90">
        <f>IFERROR(-K63/K61,"")</f>
        <v>5.0200386540515578E-3</v>
      </c>
      <c r="L27" s="387">
        <f>_xlfn.XLOOKUP(CENARIOS!$D$8,CENARIOS!$J$8:$M$8,CENARIOS!J16:M16)</f>
        <v>0.08</v>
      </c>
      <c r="M27" s="90">
        <f t="shared" si="2"/>
        <v>0.08</v>
      </c>
      <c r="N27" s="90">
        <f t="shared" si="2"/>
        <v>0.08</v>
      </c>
      <c r="O27" s="90">
        <f t="shared" si="2"/>
        <v>0.08</v>
      </c>
      <c r="P27" s="90">
        <f t="shared" si="2"/>
        <v>0.08</v>
      </c>
    </row>
    <row r="28" spans="2:16" ht="18" customHeight="1">
      <c r="B28" s="28" t="s">
        <v>24</v>
      </c>
      <c r="F28" s="25"/>
    </row>
    <row r="29" spans="2:16">
      <c r="C29" t="s">
        <v>19</v>
      </c>
      <c r="F29" s="25" t="s">
        <v>28</v>
      </c>
      <c r="H29" s="91">
        <f>IFERROR(H88/I49*365,"")</f>
        <v>21.558705819930243</v>
      </c>
      <c r="I29" s="91">
        <f>IFERROR(I88/H49*365,"")</f>
        <v>29.958487808842886</v>
      </c>
      <c r="J29" s="91">
        <f>IFERROR(J88/J49*365,"")</f>
        <v>24.494443068394418</v>
      </c>
      <c r="K29" s="91">
        <f>IFERROR(K88/K49*365,"")</f>
        <v>26.281846439995075</v>
      </c>
      <c r="L29" s="385">
        <f>_xlfn.XLOOKUP(CENARIOS!$D$8,CENARIOS!$J$8:$M$8,CENARIOS!J18:M18)</f>
        <v>25.388144754194748</v>
      </c>
      <c r="M29" s="91">
        <f>L29</f>
        <v>25.388144754194748</v>
      </c>
      <c r="N29" s="91">
        <f>M29</f>
        <v>25.388144754194748</v>
      </c>
      <c r="O29" s="91">
        <f>N29</f>
        <v>25.388144754194748</v>
      </c>
      <c r="P29" s="91">
        <f>O29</f>
        <v>25.388144754194748</v>
      </c>
    </row>
    <row r="30" spans="2:16">
      <c r="C30" t="s">
        <v>20</v>
      </c>
      <c r="F30" s="25" t="s">
        <v>28</v>
      </c>
      <c r="H30" s="91">
        <f>IFERROR(H89/-I50*365,"")</f>
        <v>91.734133964060533</v>
      </c>
      <c r="I30" s="91">
        <f>IFERROR(I89/-H50*365,"")</f>
        <v>183.34957353043319</v>
      </c>
      <c r="J30" s="91">
        <f>IFERROR(J89/-J50*365,"")</f>
        <v>136.85745071080422</v>
      </c>
      <c r="K30" s="91">
        <f>IFERROR(K89/-K50*365,"")</f>
        <v>106.80110267007394</v>
      </c>
      <c r="L30" s="385">
        <f>_xlfn.XLOOKUP(CENARIOS!$D$8,CENARIOS!$J$8:$M$8,CENARIOS!J19:M19)</f>
        <v>121.82927669043909</v>
      </c>
      <c r="M30" s="91">
        <f t="shared" ref="M30:P32" si="3">L30</f>
        <v>121.82927669043909</v>
      </c>
      <c r="N30" s="91">
        <f t="shared" si="3"/>
        <v>121.82927669043909</v>
      </c>
      <c r="O30" s="91">
        <f t="shared" si="3"/>
        <v>121.82927669043909</v>
      </c>
      <c r="P30" s="91">
        <f t="shared" si="3"/>
        <v>121.82927669043909</v>
      </c>
    </row>
    <row r="31" spans="2:16">
      <c r="C31" t="s">
        <v>21</v>
      </c>
      <c r="F31" s="25" t="s">
        <v>28</v>
      </c>
      <c r="H31" s="91">
        <f>IFERROR(H96/I50*365,"")</f>
        <v>-252.3217826275779</v>
      </c>
      <c r="I31" s="91">
        <f>IFERROR(I96/H50*365,"")</f>
        <v>-468.93370370152206</v>
      </c>
      <c r="J31" s="91">
        <f>IFERROR(J96/J50*365,"")</f>
        <v>-287.77585206955331</v>
      </c>
      <c r="K31" s="91">
        <f>IFERROR(K96/K50*365,"")</f>
        <v>-284.5833504569722</v>
      </c>
      <c r="L31" s="385">
        <f>_xlfn.XLOOKUP(CENARIOS!$D$8,CENARIOS!$J$8:$M$8,CENARIOS!J20:M20)</f>
        <v>-286.17960126326273</v>
      </c>
      <c r="M31" s="91">
        <f t="shared" si="3"/>
        <v>-286.17960126326273</v>
      </c>
      <c r="N31" s="91">
        <f t="shared" si="3"/>
        <v>-286.17960126326273</v>
      </c>
      <c r="O31" s="91">
        <f t="shared" si="3"/>
        <v>-286.17960126326273</v>
      </c>
      <c r="P31" s="91">
        <f t="shared" si="3"/>
        <v>-286.17960126326273</v>
      </c>
    </row>
    <row r="32" spans="2:16">
      <c r="B32" s="27"/>
      <c r="C32" s="27" t="s">
        <v>26</v>
      </c>
      <c r="D32" s="27"/>
      <c r="E32" s="27"/>
      <c r="F32" s="87" t="s">
        <v>22</v>
      </c>
      <c r="G32" s="15"/>
      <c r="H32" s="92">
        <f>IFERROR(H54,"")</f>
        <v>2184.0610000000001</v>
      </c>
      <c r="I32" s="92">
        <f>IFERROR(I54,"")</f>
        <v>1615.5690000000002</v>
      </c>
      <c r="J32" s="92">
        <f>IFERROR(J54,"")</f>
        <v>2341.5279999999998</v>
      </c>
      <c r="K32" s="92">
        <f>IFERROR(K54,"")</f>
        <v>1637.126</v>
      </c>
      <c r="L32" s="386">
        <f>_xlfn.XLOOKUP(CENARIOS!$D$8,CENARIOS!$J$8:$M$8,CENARIOS!J21:M21)</f>
        <v>1944.5709999999999</v>
      </c>
      <c r="M32" s="92">
        <f t="shared" si="3"/>
        <v>1944.5709999999999</v>
      </c>
      <c r="N32" s="92">
        <f t="shared" si="3"/>
        <v>1944.5709999999999</v>
      </c>
      <c r="O32" s="92">
        <f t="shared" si="3"/>
        <v>1944.5709999999999</v>
      </c>
      <c r="P32" s="92">
        <f t="shared" si="3"/>
        <v>1944.5709999999999</v>
      </c>
    </row>
    <row r="33" spans="2:17" ht="18" customHeight="1">
      <c r="B33" s="28" t="s">
        <v>25</v>
      </c>
      <c r="F33" s="25"/>
    </row>
    <row r="34" spans="2:17">
      <c r="B34" s="28"/>
      <c r="C34" t="s">
        <v>4</v>
      </c>
      <c r="F34" s="25" t="s">
        <v>153</v>
      </c>
      <c r="H34" s="91">
        <f>H128</f>
        <v>-5124.2019999999993</v>
      </c>
      <c r="I34" s="91">
        <f>I128</f>
        <v>-7810.8980000000001</v>
      </c>
      <c r="J34" s="91">
        <f>J128</f>
        <v>-6536.027</v>
      </c>
      <c r="K34" s="91">
        <f>K128</f>
        <v>-6050.6280000000006</v>
      </c>
      <c r="L34" s="91">
        <f>L35*L57</f>
        <v>-6592.9329027734411</v>
      </c>
      <c r="M34" s="91">
        <f>M35*M57</f>
        <v>-6747.535736214013</v>
      </c>
      <c r="N34" s="91">
        <f>N35*N57</f>
        <v>-6905.7639722576969</v>
      </c>
      <c r="O34" s="91">
        <f>O35*O57</f>
        <v>-7067.7026258019678</v>
      </c>
      <c r="P34" s="91">
        <f>P35*P57</f>
        <v>-7233.4387053250439</v>
      </c>
    </row>
    <row r="35" spans="2:17">
      <c r="C35" t="s">
        <v>152</v>
      </c>
      <c r="D35" s="84"/>
      <c r="F35" s="25" t="s">
        <v>154</v>
      </c>
      <c r="H35" s="89">
        <f>IFERROR(H128/H57,"")</f>
        <v>0.99164987856444775</v>
      </c>
      <c r="I35" s="89">
        <f>IFERROR(I128/I57,"")</f>
        <v>1.4473505689694437</v>
      </c>
      <c r="J35" s="89">
        <f>IFERROR(J128/J57,"")</f>
        <v>1.0973392654774397</v>
      </c>
      <c r="K35" s="89">
        <f>IFERROR(K128/K57,"")</f>
        <v>0.94277204174815743</v>
      </c>
      <c r="L35" s="384">
        <f>_xlfn.XLOOKUP(CENARIOS!$D$8,CENARIOS!$J$8:$M$8,CENARIOS!J24:M24)</f>
        <v>1.1499999999999999</v>
      </c>
      <c r="M35" s="89">
        <f>L35</f>
        <v>1.1499999999999999</v>
      </c>
      <c r="N35" s="89">
        <f>M35</f>
        <v>1.1499999999999999</v>
      </c>
      <c r="O35" s="89">
        <f>N35</f>
        <v>1.1499999999999999</v>
      </c>
      <c r="P35" s="89">
        <f>O35</f>
        <v>1.1499999999999999</v>
      </c>
    </row>
    <row r="36" spans="2:17">
      <c r="C36" t="s">
        <v>29</v>
      </c>
      <c r="D36" s="84"/>
      <c r="F36" s="25" t="s">
        <v>22</v>
      </c>
      <c r="H36" s="91">
        <f t="shared" ref="H36:K37" si="4">H132</f>
        <v>1724.9839999999999</v>
      </c>
      <c r="I36" s="91">
        <f t="shared" si="4"/>
        <v>-2537.2829999999999</v>
      </c>
      <c r="J36" s="91">
        <f t="shared" si="4"/>
        <v>-194.04800000000023</v>
      </c>
      <c r="K36" s="91">
        <f t="shared" si="4"/>
        <v>-1406.623</v>
      </c>
      <c r="L36" s="385">
        <f>_xlfn.XLOOKUP(CENARIOS!$D$8,CENARIOS!$J$8:$M$8,CENARIOS!J25:M25)</f>
        <v>-400</v>
      </c>
      <c r="M36" s="91">
        <f t="shared" ref="M36:P38" si="5">L36</f>
        <v>-400</v>
      </c>
      <c r="N36" s="91">
        <f t="shared" si="5"/>
        <v>-400</v>
      </c>
      <c r="O36" s="91">
        <f t="shared" si="5"/>
        <v>-400</v>
      </c>
      <c r="P36" s="91">
        <f t="shared" si="5"/>
        <v>-400</v>
      </c>
    </row>
    <row r="37" spans="2:17">
      <c r="C37" t="s">
        <v>27</v>
      </c>
      <c r="D37" s="84"/>
      <c r="F37" s="25" t="s">
        <v>22</v>
      </c>
      <c r="H37" s="91">
        <f t="shared" si="4"/>
        <v>-7.3949999999999996</v>
      </c>
      <c r="I37" s="91">
        <f t="shared" si="4"/>
        <v>-44.164999999999999</v>
      </c>
      <c r="J37" s="91">
        <f t="shared" si="4"/>
        <v>-54.082000000000001</v>
      </c>
      <c r="K37" s="91">
        <f t="shared" si="4"/>
        <v>-118.989</v>
      </c>
      <c r="L37" s="385">
        <f>_xlfn.XLOOKUP(CENARIOS!$D$8,CENARIOS!$J$8:$M$8,CENARIOS!J26:M26)</f>
        <v>-56</v>
      </c>
      <c r="M37" s="91">
        <f t="shared" si="5"/>
        <v>-56</v>
      </c>
      <c r="N37" s="91">
        <f t="shared" si="5"/>
        <v>-56</v>
      </c>
      <c r="O37" s="91">
        <f t="shared" si="5"/>
        <v>-56</v>
      </c>
      <c r="P37" s="91">
        <f t="shared" si="5"/>
        <v>-56</v>
      </c>
    </row>
    <row r="38" spans="2:17">
      <c r="C38" t="s">
        <v>79</v>
      </c>
      <c r="F38" s="25" t="s">
        <v>80</v>
      </c>
      <c r="G38" s="14"/>
      <c r="H38" s="89">
        <f>IFERROR(-H134/H64,"")</f>
        <v>0.58390079568465747</v>
      </c>
      <c r="I38" s="89">
        <f>IFERROR(-I134/I64,"")</f>
        <v>0.84703231421986958</v>
      </c>
      <c r="J38" s="89">
        <f>IFERROR(-J134/J64,"")</f>
        <v>0.82211300551443134</v>
      </c>
      <c r="K38" s="89">
        <f>IFERROR(-K134/K64,"")</f>
        <v>0.79689727434164948</v>
      </c>
      <c r="L38" s="384">
        <f>_xlfn.XLOOKUP(CENARIOS!$D$8,CENARIOS!$J$8:$M$8,CENARIOS!J27:M27)</f>
        <v>0.82</v>
      </c>
      <c r="M38" s="89">
        <f t="shared" si="5"/>
        <v>0.82</v>
      </c>
      <c r="N38" s="89">
        <f t="shared" si="5"/>
        <v>0.82</v>
      </c>
      <c r="O38" s="89">
        <f t="shared" si="5"/>
        <v>0.82</v>
      </c>
      <c r="P38" s="89">
        <f t="shared" si="5"/>
        <v>0.82</v>
      </c>
    </row>
    <row r="39" spans="2:17">
      <c r="B39" s="103"/>
      <c r="C39" s="103"/>
      <c r="D39" s="103"/>
      <c r="E39" s="103"/>
      <c r="F39" s="104"/>
      <c r="G39" s="105"/>
      <c r="H39" s="106"/>
      <c r="I39" s="106"/>
      <c r="J39" s="106"/>
      <c r="K39" s="106"/>
      <c r="L39" s="107"/>
      <c r="M39" s="107"/>
      <c r="N39" s="107"/>
      <c r="O39" s="107"/>
      <c r="P39" s="107"/>
      <c r="Q39" s="7"/>
    </row>
    <row r="41" spans="2:17">
      <c r="O41" s="30"/>
      <c r="Q41" s="30" t="str">
        <f>UPPER("Modelo Atual: Cenário "&amp;CENARIOS!D8)</f>
        <v>MODELO ATUAL: CENÁRIO BASE</v>
      </c>
    </row>
    <row r="42" spans="2:17" ht="22.8">
      <c r="B42" s="1" t="str">
        <f>TITLE</f>
        <v>AMBEV</v>
      </c>
      <c r="C42" s="2"/>
      <c r="D42" s="2"/>
      <c r="E42" s="2"/>
      <c r="F42" s="16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2:17" ht="17.399999999999999">
      <c r="B43" s="17" t="s">
        <v>34</v>
      </c>
      <c r="C43" s="18"/>
      <c r="D43" s="18"/>
      <c r="E43" s="18"/>
      <c r="F43" s="19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</row>
    <row r="44" spans="2:17" ht="3" customHeight="1" thickBot="1">
      <c r="B44" s="52"/>
      <c r="C44" s="53"/>
      <c r="D44" s="53"/>
      <c r="E44" s="53"/>
      <c r="F44" s="54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</row>
    <row r="45" spans="2:17" ht="17.399999999999999">
      <c r="B45" s="34" t="str">
        <f>$B$8</f>
        <v>(R$ Milhões)</v>
      </c>
      <c r="C45" s="18"/>
      <c r="D45" s="18"/>
      <c r="E45" s="18"/>
      <c r="F45" s="19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2:17">
      <c r="F46" s="20"/>
      <c r="G46" s="21"/>
      <c r="H46" s="21"/>
      <c r="L46" s="22" t="s">
        <v>23</v>
      </c>
      <c r="M46" s="10"/>
      <c r="N46" s="10"/>
      <c r="O46" s="10"/>
      <c r="P46" s="10"/>
    </row>
    <row r="47" spans="2:17">
      <c r="F47" s="20"/>
      <c r="G47" s="11"/>
      <c r="H47" s="51">
        <f>I47-1</f>
        <v>2020</v>
      </c>
      <c r="I47" s="51">
        <f>J47-1</f>
        <v>2021</v>
      </c>
      <c r="J47" s="51">
        <f>K47-1</f>
        <v>2022</v>
      </c>
      <c r="K47" s="51">
        <f>L47-1</f>
        <v>2023</v>
      </c>
      <c r="L47" s="28">
        <f>$L$19</f>
        <v>2024</v>
      </c>
      <c r="M47" s="28">
        <f>L47+1</f>
        <v>2025</v>
      </c>
      <c r="N47" s="28">
        <f>M47+1</f>
        <v>2026</v>
      </c>
      <c r="O47" s="28">
        <f>N47+1</f>
        <v>2027</v>
      </c>
      <c r="P47" s="28">
        <f>O47+1</f>
        <v>2028</v>
      </c>
    </row>
    <row r="49" spans="3:16">
      <c r="C49" t="s">
        <v>36</v>
      </c>
      <c r="F49" s="24"/>
      <c r="G49" s="11"/>
      <c r="H49" s="93">
        <v>58378.995000000003</v>
      </c>
      <c r="I49" s="93">
        <v>72854.343999999997</v>
      </c>
      <c r="J49" s="93">
        <v>79708.827000000005</v>
      </c>
      <c r="K49" s="93">
        <v>79736.856</v>
      </c>
      <c r="L49" s="94">
        <f>K49*(1+L22)</f>
        <v>86115.804480000006</v>
      </c>
      <c r="M49" s="94">
        <f>L49*(1+M22)</f>
        <v>93005.06883840001</v>
      </c>
      <c r="N49" s="94">
        <f>M49*(1+N22)</f>
        <v>100445.47434547202</v>
      </c>
      <c r="O49" s="94">
        <f>N49*(1+O22)</f>
        <v>108481.11229310978</v>
      </c>
      <c r="P49" s="94">
        <f>O49*(1+P22)</f>
        <v>112820.35678483418</v>
      </c>
    </row>
    <row r="50" spans="3:16">
      <c r="C50" s="9" t="s">
        <v>14</v>
      </c>
      <c r="F50" s="24"/>
      <c r="G50" s="11"/>
      <c r="H50" s="95">
        <f>-27066.099-H57</f>
        <v>-21898.748999999996</v>
      </c>
      <c r="I50" s="95">
        <f>-35659.744-I57</f>
        <v>-30263.057000000001</v>
      </c>
      <c r="J50" s="95">
        <f>-40422.069-J57</f>
        <v>-34465.819000000003</v>
      </c>
      <c r="K50" s="95">
        <f>-39291.571-K57</f>
        <v>-32873.659</v>
      </c>
      <c r="L50" s="96">
        <f>-L49*L23</f>
        <v>-35014.308689728496</v>
      </c>
      <c r="M50" s="96">
        <f>-M49*M23</f>
        <v>-37815.453384906774</v>
      </c>
      <c r="N50" s="96">
        <f>-N49*N23</f>
        <v>-40840.689655699323</v>
      </c>
      <c r="O50" s="96">
        <f>-O49*O23</f>
        <v>-44107.944828155269</v>
      </c>
      <c r="P50" s="96">
        <f>-P49*P23</f>
        <v>-45872.262621281479</v>
      </c>
    </row>
    <row r="51" spans="3:16">
      <c r="C51" s="28" t="s">
        <v>37</v>
      </c>
      <c r="F51" s="29"/>
      <c r="G51" s="11"/>
      <c r="H51" s="68">
        <f>SUBTOTAL(9,H$49:H50)</f>
        <v>36480.246000000006</v>
      </c>
      <c r="I51" s="68">
        <f>SUBTOTAL(9,I$49:I50)</f>
        <v>42591.286999999997</v>
      </c>
      <c r="J51" s="68">
        <f>SUBTOTAL(9,J$49:J50)</f>
        <v>45243.008000000002</v>
      </c>
      <c r="K51" s="68">
        <f>SUBTOTAL(9,K$49:K50)</f>
        <v>46863.197</v>
      </c>
      <c r="L51" s="68">
        <f>SUBTOTAL(9,L$49:L50)</f>
        <v>51101.49579027151</v>
      </c>
      <c r="M51" s="68">
        <f>SUBTOTAL(9,M$49:M50)</f>
        <v>55189.615453493236</v>
      </c>
      <c r="N51" s="68">
        <f>SUBTOTAL(9,N$49:N50)</f>
        <v>59604.784689772692</v>
      </c>
      <c r="O51" s="68">
        <f>SUBTOTAL(9,O$49:O50)</f>
        <v>64373.167464954509</v>
      </c>
      <c r="P51" s="68">
        <f>SUBTOTAL(9,P$49:P50)</f>
        <v>66948.094163552698</v>
      </c>
    </row>
    <row r="52" spans="3:16" ht="12" customHeight="1">
      <c r="F52" s="24"/>
      <c r="G52" s="11"/>
      <c r="H52" s="35"/>
      <c r="I52" s="35"/>
      <c r="J52" s="35"/>
      <c r="K52" s="35"/>
      <c r="L52" s="36"/>
      <c r="M52" s="36"/>
      <c r="N52" s="36"/>
      <c r="O52" s="36"/>
      <c r="P52" s="31"/>
    </row>
    <row r="53" spans="3:16">
      <c r="C53" s="6" t="s">
        <v>38</v>
      </c>
      <c r="F53" s="24"/>
      <c r="G53" s="11"/>
      <c r="H53" s="97">
        <f>-8245.029-6374.558-2948.48</f>
        <v>-17568.066999999999</v>
      </c>
      <c r="I53" s="97">
        <f>-9932.743-7035.512-4877.389</f>
        <v>-21845.644</v>
      </c>
      <c r="J53" s="97">
        <v>-23969.446</v>
      </c>
      <c r="K53" s="97">
        <v>-23436.718999999997</v>
      </c>
      <c r="L53" s="98">
        <f>-L49*L24</f>
        <v>-27810.875244513922</v>
      </c>
      <c r="M53" s="98">
        <f>-M49*M24</f>
        <v>-30035.745264075038</v>
      </c>
      <c r="N53" s="98">
        <f>-N49*N24</f>
        <v>-32438.604885201043</v>
      </c>
      <c r="O53" s="98">
        <f>-O49*O24</f>
        <v>-35033.693276017126</v>
      </c>
      <c r="P53" s="98">
        <f>-P49*P24</f>
        <v>-36435.041007057815</v>
      </c>
    </row>
    <row r="54" spans="3:16">
      <c r="C54" s="6" t="s">
        <v>40</v>
      </c>
      <c r="F54" s="24"/>
      <c r="G54" s="11"/>
      <c r="H54" s="99">
        <v>2184.0610000000001</v>
      </c>
      <c r="I54" s="99">
        <v>1615.5690000000002</v>
      </c>
      <c r="J54" s="99">
        <v>2341.5279999999998</v>
      </c>
      <c r="K54" s="99">
        <v>1637.126</v>
      </c>
      <c r="L54" s="100">
        <f>L32</f>
        <v>1944.5709999999999</v>
      </c>
      <c r="M54" s="100">
        <f>M32</f>
        <v>1944.5709999999999</v>
      </c>
      <c r="N54" s="100">
        <f>N32</f>
        <v>1944.5709999999999</v>
      </c>
      <c r="O54" s="100">
        <f>O32</f>
        <v>1944.5709999999999</v>
      </c>
      <c r="P54" s="100">
        <f>P32</f>
        <v>1944.5709999999999</v>
      </c>
    </row>
    <row r="55" spans="3:16">
      <c r="C55" s="23" t="s">
        <v>0</v>
      </c>
      <c r="F55" s="29"/>
      <c r="G55" s="11"/>
      <c r="H55" s="68">
        <f>SUBTOTAL(9,H$49:H54)</f>
        <v>21096.240000000009</v>
      </c>
      <c r="I55" s="68">
        <f>SUBTOTAL(9,I$49:I54)</f>
        <v>22361.211999999996</v>
      </c>
      <c r="J55" s="68">
        <f>SUBTOTAL(9,J$49:J54)</f>
        <v>23615.09</v>
      </c>
      <c r="K55" s="68">
        <f>SUBTOTAL(9,K$49:K54)</f>
        <v>25063.604000000003</v>
      </c>
      <c r="L55" s="68">
        <f>SUBTOTAL(9,L$49:L54)</f>
        <v>25235.191545757589</v>
      </c>
      <c r="M55" s="68">
        <f>SUBTOTAL(9,M$49:M54)</f>
        <v>27098.441189418198</v>
      </c>
      <c r="N55" s="68">
        <f>SUBTOTAL(9,N$49:N54)</f>
        <v>29110.750804571649</v>
      </c>
      <c r="O55" s="68">
        <f>SUBTOTAL(9,O$49:O54)</f>
        <v>31284.045188937384</v>
      </c>
      <c r="P55" s="68">
        <f>SUBTOTAL(9,P$49:P54)</f>
        <v>32457.624156494883</v>
      </c>
    </row>
    <row r="56" spans="3:16" ht="12" customHeight="1">
      <c r="C56" s="23"/>
      <c r="F56" s="29"/>
      <c r="G56" s="11"/>
      <c r="H56" s="68"/>
      <c r="I56" s="68"/>
      <c r="J56" s="68"/>
      <c r="K56" s="68"/>
      <c r="L56" s="68"/>
      <c r="M56" s="68"/>
      <c r="N56" s="68"/>
      <c r="O56" s="68"/>
      <c r="P56" s="68"/>
    </row>
    <row r="57" spans="3:16">
      <c r="C57" t="s">
        <v>39</v>
      </c>
      <c r="F57" s="24"/>
      <c r="G57" s="11"/>
      <c r="H57" s="99">
        <v>-5167.3500000000004</v>
      </c>
      <c r="I57" s="99">
        <v>-5396.6869999999999</v>
      </c>
      <c r="J57" s="99">
        <v>-5956.25</v>
      </c>
      <c r="K57" s="99">
        <v>-6417.9120000000003</v>
      </c>
      <c r="L57" s="75">
        <f>L161</f>
        <v>-5732.9851328464711</v>
      </c>
      <c r="M57" s="75">
        <f>M161</f>
        <v>-5867.4223793165338</v>
      </c>
      <c r="N57" s="75">
        <f>N161</f>
        <v>-6005.0121497893024</v>
      </c>
      <c r="O57" s="75">
        <f>O161</f>
        <v>-6145.8283702625813</v>
      </c>
      <c r="P57" s="75">
        <f>P161</f>
        <v>-6289.9467002826477</v>
      </c>
    </row>
    <row r="58" spans="3:16">
      <c r="C58" s="28" t="s">
        <v>1</v>
      </c>
      <c r="F58" s="29"/>
      <c r="H58" s="68">
        <f>SUBTOTAL(9,H$49:H57)</f>
        <v>15928.890000000009</v>
      </c>
      <c r="I58" s="68">
        <f>SUBTOTAL(9,I$49:I57)</f>
        <v>16964.524999999994</v>
      </c>
      <c r="J58" s="68">
        <f>SUBTOTAL(9,J$49:J57)</f>
        <v>17658.84</v>
      </c>
      <c r="K58" s="68">
        <f>SUBTOTAL(9,K$49:K57)</f>
        <v>18645.692000000003</v>
      </c>
      <c r="L58" s="68">
        <f>SUBTOTAL(9,L$49:L57)</f>
        <v>19502.206412911117</v>
      </c>
      <c r="M58" s="68">
        <f>SUBTOTAL(9,M$49:M57)</f>
        <v>21231.018810101665</v>
      </c>
      <c r="N58" s="68">
        <f>SUBTOTAL(9,N$49:N57)</f>
        <v>23105.738654782348</v>
      </c>
      <c r="O58" s="68">
        <f>SUBTOTAL(9,O$49:O57)</f>
        <v>25138.216818674802</v>
      </c>
      <c r="P58" s="68">
        <f>SUBTOTAL(9,P$49:P57)</f>
        <v>26167.677456212237</v>
      </c>
    </row>
    <row r="59" spans="3:16" ht="12" customHeight="1">
      <c r="C59" s="23"/>
      <c r="F59" s="29"/>
      <c r="H59" s="66"/>
      <c r="I59" s="66"/>
      <c r="J59" s="66"/>
      <c r="K59" s="66"/>
      <c r="L59" s="66"/>
      <c r="M59" s="66"/>
      <c r="N59" s="66"/>
      <c r="O59" s="66"/>
      <c r="P59" s="66"/>
    </row>
    <row r="60" spans="3:16">
      <c r="C60" s="9" t="s">
        <v>18</v>
      </c>
      <c r="F60" s="24"/>
      <c r="H60" s="101">
        <v>-2434.4490000000001</v>
      </c>
      <c r="I60" s="101">
        <v>-3205.3649999999998</v>
      </c>
      <c r="J60" s="101">
        <v>-3423.17</v>
      </c>
      <c r="K60" s="101">
        <v>-3609.752</v>
      </c>
      <c r="L60" s="75">
        <f>L168</f>
        <v>-3676.1192999999998</v>
      </c>
      <c r="M60" s="75">
        <f>M168</f>
        <v>-3256.1192999999998</v>
      </c>
      <c r="N60" s="75">
        <f>N168</f>
        <v>-2836.1192999999998</v>
      </c>
      <c r="O60" s="75">
        <f>O168</f>
        <v>-2416.1192999999998</v>
      </c>
      <c r="P60" s="75">
        <f>P168</f>
        <v>-1996.1192999999998</v>
      </c>
    </row>
    <row r="61" spans="3:16">
      <c r="C61" s="26" t="s">
        <v>62</v>
      </c>
      <c r="F61" s="29"/>
      <c r="H61" s="68">
        <f>SUBTOTAL(9,H$49:H60)</f>
        <v>13494.441000000008</v>
      </c>
      <c r="I61" s="68">
        <f>SUBTOTAL(9,I$49:I60)</f>
        <v>13759.159999999994</v>
      </c>
      <c r="J61" s="68">
        <f>SUBTOTAL(9,J$49:J60)</f>
        <v>14235.67</v>
      </c>
      <c r="K61" s="68">
        <f>SUBTOTAL(9,K$49:K60)</f>
        <v>15035.940000000002</v>
      </c>
      <c r="L61" s="68">
        <f>SUBTOTAL(9,L$49:L60)</f>
        <v>15826.087112911116</v>
      </c>
      <c r="M61" s="68">
        <f>SUBTOTAL(9,M$49:M60)</f>
        <v>17974.899510101666</v>
      </c>
      <c r="N61" s="68">
        <f>SUBTOTAL(9,N$49:N60)</f>
        <v>20269.61935478235</v>
      </c>
      <c r="O61" s="68">
        <f>SUBTOTAL(9,O$49:O60)</f>
        <v>22722.097518674804</v>
      </c>
      <c r="P61" s="68">
        <f>SUBTOTAL(9,P$49:P60)</f>
        <v>24171.558156212239</v>
      </c>
    </row>
    <row r="62" spans="3:16" ht="12" customHeight="1">
      <c r="C62" s="28"/>
      <c r="F62" s="29"/>
      <c r="H62" s="31"/>
      <c r="I62" s="31"/>
    </row>
    <row r="63" spans="3:16">
      <c r="C63" t="s">
        <v>41</v>
      </c>
      <c r="F63" s="24"/>
      <c r="H63" s="101">
        <v>-1762.5319999999999</v>
      </c>
      <c r="I63" s="101">
        <v>-636.57799999999997</v>
      </c>
      <c r="J63" s="101">
        <v>655.62099999999998</v>
      </c>
      <c r="K63" s="101">
        <v>-75.480999999999995</v>
      </c>
      <c r="L63" s="129">
        <f>-L61*L27</f>
        <v>-1266.0869690328893</v>
      </c>
      <c r="M63" s="129">
        <f>-M61*M27</f>
        <v>-1437.9919608081334</v>
      </c>
      <c r="N63" s="129">
        <f>-N61*N27</f>
        <v>-1621.569548382588</v>
      </c>
      <c r="O63" s="129">
        <f>-O61*O27</f>
        <v>-1817.7678014939843</v>
      </c>
      <c r="P63" s="129">
        <f>-P61*P27</f>
        <v>-1933.7246524969792</v>
      </c>
    </row>
    <row r="64" spans="3:16" ht="13.8" thickBot="1">
      <c r="C64" s="38" t="s">
        <v>47</v>
      </c>
      <c r="D64" s="28"/>
      <c r="E64" s="28"/>
      <c r="F64" s="29"/>
      <c r="H64" s="102">
        <f>SUBTOTAL(9,H$49:H63)</f>
        <v>11731.909000000009</v>
      </c>
      <c r="I64" s="102">
        <f>SUBTOTAL(9,I$49:I63)</f>
        <v>13122.581999999995</v>
      </c>
      <c r="J64" s="102">
        <f>SUBTOTAL(9,J$49:J63)</f>
        <v>14891.290999999999</v>
      </c>
      <c r="K64" s="102">
        <f>SUBTOTAL(9,K$49:K63)</f>
        <v>14960.459000000003</v>
      </c>
      <c r="L64" s="102">
        <f>SUBTOTAL(9,L$49:L63)</f>
        <v>14560.000143878227</v>
      </c>
      <c r="M64" s="102">
        <f>SUBTOTAL(9,M$49:M63)</f>
        <v>16536.907549293534</v>
      </c>
      <c r="N64" s="102">
        <f>SUBTOTAL(9,N$49:N63)</f>
        <v>18648.049806399762</v>
      </c>
      <c r="O64" s="102">
        <f>SUBTOTAL(9,O$49:O63)</f>
        <v>20904.329717180819</v>
      </c>
      <c r="P64" s="102">
        <f>SUBTOTAL(9,P$49:P63)</f>
        <v>22237.833503715261</v>
      </c>
    </row>
    <row r="65" spans="2:17" ht="12" customHeight="1" thickTop="1">
      <c r="C65" s="39"/>
      <c r="I65" s="40"/>
      <c r="J65" s="40"/>
      <c r="K65" s="40"/>
      <c r="L65" s="40"/>
      <c r="M65" s="40"/>
      <c r="N65" s="40"/>
      <c r="O65" s="40"/>
      <c r="P65" s="40"/>
    </row>
    <row r="66" spans="2:17" ht="12" customHeight="1">
      <c r="C66" s="39"/>
      <c r="I66" s="40"/>
      <c r="J66" s="40"/>
      <c r="K66" s="40"/>
      <c r="L66" s="40"/>
      <c r="M66" s="40"/>
      <c r="N66" s="40"/>
      <c r="O66" s="40"/>
      <c r="P66" s="40"/>
    </row>
    <row r="67" spans="2:17">
      <c r="B67" s="41" t="s">
        <v>83</v>
      </c>
      <c r="C67" s="3"/>
      <c r="D67" s="3"/>
      <c r="E67" s="3"/>
      <c r="F67" s="42"/>
      <c r="G67" s="3"/>
      <c r="H67" s="3"/>
      <c r="I67" s="69"/>
      <c r="J67" s="69"/>
      <c r="K67" s="69"/>
      <c r="L67" s="69"/>
      <c r="M67" s="69"/>
      <c r="N67" s="69"/>
      <c r="O67" s="69"/>
      <c r="P67" s="69"/>
      <c r="Q67" s="70"/>
    </row>
    <row r="68" spans="2:17">
      <c r="B68" s="4"/>
      <c r="C68" s="413" t="s">
        <v>93</v>
      </c>
      <c r="D68" s="413"/>
      <c r="E68" s="413"/>
      <c r="F68" s="414"/>
      <c r="G68" s="413"/>
      <c r="H68" s="415">
        <f>IFERROR(H58/I$49,"")</f>
        <v>0.2186402227436158</v>
      </c>
      <c r="I68" s="415">
        <f>IFERROR(I58/H$49,"")</f>
        <v>0.29059296070444501</v>
      </c>
      <c r="J68" s="415">
        <f t="shared" ref="J68:P68" si="6">IFERROR(J58/J$49,"")</f>
        <v>0.22154183751819606</v>
      </c>
      <c r="K68" s="415">
        <f t="shared" si="6"/>
        <v>0.23384032096775928</v>
      </c>
      <c r="L68" s="415">
        <f t="shared" si="6"/>
        <v>0.22646489260215194</v>
      </c>
      <c r="M68" s="415">
        <f t="shared" si="6"/>
        <v>0.22827808285364962</v>
      </c>
      <c r="N68" s="415">
        <f t="shared" si="6"/>
        <v>0.23003265010539453</v>
      </c>
      <c r="O68" s="415">
        <f t="shared" si="6"/>
        <v>0.23172897371067486</v>
      </c>
      <c r="P68" s="415">
        <f t="shared" si="6"/>
        <v>0.23194109823742212</v>
      </c>
      <c r="Q68" s="85"/>
    </row>
    <row r="69" spans="2:17">
      <c r="B69" s="4"/>
      <c r="C69" s="413" t="s">
        <v>42</v>
      </c>
      <c r="D69" s="413"/>
      <c r="E69" s="413"/>
      <c r="F69" s="416"/>
      <c r="G69" s="413"/>
      <c r="H69" s="415">
        <f>IFERROR(H64/I$49," ")</f>
        <v>0.1610323881304869</v>
      </c>
      <c r="I69" s="415">
        <f>IFERROR(I64/H$49," ")</f>
        <v>0.22478259517828278</v>
      </c>
      <c r="J69" s="415">
        <f t="shared" ref="J69:P69" si="7">IFERROR(J64/J$49," ")</f>
        <v>0.1868211032637577</v>
      </c>
      <c r="K69" s="415">
        <f t="shared" si="7"/>
        <v>0.18762288545713418</v>
      </c>
      <c r="L69" s="415">
        <f t="shared" si="7"/>
        <v>0.16907465745454098</v>
      </c>
      <c r="M69" s="415">
        <f t="shared" si="7"/>
        <v>0.17780651910517981</v>
      </c>
      <c r="N69" s="415">
        <f t="shared" si="7"/>
        <v>0.18565345953030882</v>
      </c>
      <c r="O69" s="415">
        <f t="shared" si="7"/>
        <v>0.19270017863292654</v>
      </c>
      <c r="P69" s="415">
        <f t="shared" si="7"/>
        <v>0.19710834230143626</v>
      </c>
      <c r="Q69" s="85"/>
    </row>
    <row r="70" spans="2:17">
      <c r="B70" s="4"/>
      <c r="C70" s="413" t="s">
        <v>87</v>
      </c>
      <c r="D70" s="413"/>
      <c r="E70" s="413"/>
      <c r="F70" s="416"/>
      <c r="G70" s="413"/>
      <c r="H70" s="417">
        <f>IFERROR(H92/I$49," ")</f>
        <v>1.7184504330997752</v>
      </c>
      <c r="I70" s="417">
        <f>IFERROR(I92/H$49," ")</f>
        <v>2.3741841222172462</v>
      </c>
      <c r="J70" s="417">
        <f t="shared" ref="J70:P70" si="8">IFERROR(J92/J$49," ")</f>
        <v>1.730775476096267</v>
      </c>
      <c r="K70" s="417">
        <f t="shared" si="8"/>
        <v>1.6635234903166984</v>
      </c>
      <c r="L70" s="417">
        <f t="shared" si="8"/>
        <v>1.5865970736181567</v>
      </c>
      <c r="M70" s="417">
        <f t="shared" si="8"/>
        <v>1.5197878607354118</v>
      </c>
      <c r="N70" s="417">
        <f t="shared" si="8"/>
        <v>1.4597031098299391</v>
      </c>
      <c r="O70" s="417">
        <f t="shared" si="8"/>
        <v>1.4056737703900488</v>
      </c>
      <c r="P70" s="417">
        <f t="shared" si="8"/>
        <v>1.3953083339509302</v>
      </c>
      <c r="Q70" s="85"/>
    </row>
    <row r="71" spans="2:17">
      <c r="B71" s="4"/>
      <c r="C71" s="413" t="s">
        <v>89</v>
      </c>
      <c r="D71" s="413"/>
      <c r="E71" s="413"/>
      <c r="F71" s="416"/>
      <c r="G71" s="413"/>
      <c r="H71" s="417">
        <f>IFERROR(I$49/H90," ")</f>
        <v>2.2521420891108206</v>
      </c>
      <c r="I71" s="417">
        <f>IFERROR(H$49/I90," ")</f>
        <v>1.5398034978565294</v>
      </c>
      <c r="J71" s="417">
        <f t="shared" ref="J71:P71" si="9">IFERROR(J$49/J90," ")</f>
        <v>2.029353602285497</v>
      </c>
      <c r="K71" s="417">
        <f t="shared" si="9"/>
        <v>2.1743318431183081</v>
      </c>
      <c r="L71" s="417">
        <f t="shared" si="9"/>
        <v>2.2944734894776531</v>
      </c>
      <c r="M71" s="417">
        <f t="shared" si="9"/>
        <v>2.421253503957125</v>
      </c>
      <c r="N71" s="417">
        <f t="shared" si="9"/>
        <v>2.5550386863520802</v>
      </c>
      <c r="O71" s="417">
        <f t="shared" si="9"/>
        <v>2.6962161038018109</v>
      </c>
      <c r="P71" s="417">
        <f t="shared" si="9"/>
        <v>2.7398166472942878</v>
      </c>
      <c r="Q71" s="85"/>
    </row>
    <row r="72" spans="2:17">
      <c r="B72" s="4"/>
      <c r="C72" s="413"/>
      <c r="D72" s="413"/>
      <c r="E72" s="413"/>
      <c r="F72" s="416"/>
      <c r="G72" s="413"/>
      <c r="H72" s="415"/>
      <c r="I72" s="415"/>
      <c r="J72" s="413"/>
      <c r="K72" s="413"/>
      <c r="L72" s="413"/>
      <c r="M72" s="413"/>
      <c r="N72" s="413"/>
      <c r="O72" s="413"/>
      <c r="P72" s="413"/>
      <c r="Q72" s="85"/>
    </row>
    <row r="73" spans="2:17">
      <c r="B73" s="134" t="s">
        <v>86</v>
      </c>
      <c r="C73" s="413"/>
      <c r="D73" s="413"/>
      <c r="E73" s="413"/>
      <c r="F73" s="416"/>
      <c r="G73" s="413"/>
      <c r="H73" s="415"/>
      <c r="I73" s="415"/>
      <c r="J73" s="415"/>
      <c r="K73" s="415"/>
      <c r="L73" s="415"/>
      <c r="M73" s="415"/>
      <c r="N73" s="415"/>
      <c r="O73" s="415"/>
      <c r="P73" s="415"/>
      <c r="Q73" s="85"/>
    </row>
    <row r="74" spans="2:17">
      <c r="B74" s="4"/>
      <c r="C74" s="413" t="s">
        <v>91</v>
      </c>
      <c r="D74" s="413"/>
      <c r="E74" s="413"/>
      <c r="F74" s="416"/>
      <c r="G74" s="413"/>
      <c r="H74" s="415">
        <f t="shared" ref="H74:P74" si="10">IFERROR(H64/H101,"")</f>
        <v>0.1561108919674975</v>
      </c>
      <c r="I74" s="415">
        <f t="shared" si="10"/>
        <v>0.15618845747553153</v>
      </c>
      <c r="J74" s="415">
        <f t="shared" si="10"/>
        <v>0.17870730026357221</v>
      </c>
      <c r="K74" s="415">
        <f t="shared" si="10"/>
        <v>0.18667019316103825</v>
      </c>
      <c r="L74" s="415">
        <f t="shared" si="10"/>
        <v>0.17603973211056254</v>
      </c>
      <c r="M74" s="415">
        <f t="shared" si="10"/>
        <v>0.19312219178139117</v>
      </c>
      <c r="N74" s="415">
        <f t="shared" si="10"/>
        <v>0.20969382616179769</v>
      </c>
      <c r="O74" s="415">
        <f t="shared" si="10"/>
        <v>0.22565932996580593</v>
      </c>
      <c r="P74" s="415">
        <f t="shared" si="10"/>
        <v>0.23024468206131438</v>
      </c>
      <c r="Q74" s="85"/>
    </row>
    <row r="75" spans="2:17">
      <c r="B75" s="8"/>
      <c r="C75" s="7" t="s">
        <v>90</v>
      </c>
      <c r="D75" s="7"/>
      <c r="E75" s="7"/>
      <c r="F75" s="43"/>
      <c r="G75" s="7"/>
      <c r="H75" s="123">
        <f t="shared" ref="H75:P75" si="11">IFERROR(H64/H92,"")</f>
        <v>9.3707903951592869E-2</v>
      </c>
      <c r="I75" s="123">
        <f t="shared" si="11"/>
        <v>9.4677827669219991E-2</v>
      </c>
      <c r="J75" s="123">
        <f t="shared" si="11"/>
        <v>0.10794069239132585</v>
      </c>
      <c r="K75" s="123">
        <f t="shared" si="11"/>
        <v>0.11278643586897286</v>
      </c>
      <c r="L75" s="123">
        <f t="shared" si="11"/>
        <v>0.10656433209534072</v>
      </c>
      <c r="M75" s="123">
        <f t="shared" si="11"/>
        <v>0.11699430144095296</v>
      </c>
      <c r="N75" s="123">
        <f t="shared" si="11"/>
        <v>0.12718576694129136</v>
      </c>
      <c r="O75" s="123">
        <f t="shared" si="11"/>
        <v>0.13708741152611517</v>
      </c>
      <c r="P75" s="123">
        <f t="shared" si="11"/>
        <v>0.14126507919816386</v>
      </c>
      <c r="Q75" s="86"/>
    </row>
    <row r="76" spans="2:17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</row>
    <row r="78" spans="2:17">
      <c r="O78" s="30"/>
      <c r="Q78" s="30" t="str">
        <f>$Q$4</f>
        <v>MODELO ATUAL: CENÁRIO BASE</v>
      </c>
    </row>
    <row r="79" spans="2:17" ht="22.8">
      <c r="B79" s="1" t="str">
        <f>TITLE</f>
        <v>AMBEV</v>
      </c>
      <c r="C79" s="2"/>
      <c r="D79" s="2"/>
      <c r="E79" s="2"/>
      <c r="F79" s="16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2:17" ht="17.399999999999999">
      <c r="B80" s="17" t="s">
        <v>52</v>
      </c>
      <c r="C80" s="18"/>
      <c r="D80" s="18"/>
      <c r="E80" s="18"/>
      <c r="F80" s="19"/>
      <c r="G80" s="18"/>
      <c r="H80" s="18"/>
      <c r="I80" s="18"/>
      <c r="J80" s="18"/>
      <c r="K80" s="18"/>
      <c r="L80" s="18"/>
      <c r="M80" s="18"/>
      <c r="N80" s="18"/>
      <c r="O80" s="18"/>
      <c r="P80" s="18"/>
    </row>
    <row r="81" spans="2:18" ht="3" customHeight="1" thickBot="1">
      <c r="B81" s="52"/>
      <c r="C81" s="53"/>
      <c r="D81" s="53"/>
      <c r="E81" s="53"/>
      <c r="F81" s="54"/>
      <c r="G81" s="53"/>
      <c r="H81" s="53"/>
      <c r="I81" s="53"/>
      <c r="J81" s="53"/>
      <c r="K81" s="53"/>
      <c r="L81" s="53"/>
      <c r="M81" s="53"/>
      <c r="N81" s="53"/>
      <c r="O81" s="53"/>
      <c r="P81" s="53"/>
    </row>
    <row r="82" spans="2:18" ht="17.399999999999999">
      <c r="B82" s="34" t="str">
        <f>$B$8</f>
        <v>(R$ Milhões)</v>
      </c>
      <c r="C82" s="18"/>
      <c r="D82" s="18"/>
      <c r="E82" s="18"/>
      <c r="F82" s="19"/>
      <c r="G82" s="18"/>
      <c r="H82" s="18"/>
      <c r="I82" s="18"/>
      <c r="J82" s="18"/>
      <c r="K82" s="18"/>
      <c r="L82" s="18"/>
      <c r="M82" s="18"/>
      <c r="N82" s="18"/>
      <c r="O82" s="18"/>
      <c r="P82" s="18"/>
    </row>
    <row r="83" spans="2:18">
      <c r="F83" s="20"/>
      <c r="G83" s="21"/>
      <c r="H83" s="21"/>
      <c r="L83" s="22" t="s">
        <v>23</v>
      </c>
      <c r="M83" s="10"/>
      <c r="N83" s="10"/>
      <c r="O83" s="10"/>
      <c r="P83" s="10"/>
    </row>
    <row r="84" spans="2:18">
      <c r="F84" s="20"/>
      <c r="G84" s="11"/>
      <c r="H84" s="51">
        <f>I84-1</f>
        <v>2020</v>
      </c>
      <c r="I84" s="51">
        <f>J84-1</f>
        <v>2021</v>
      </c>
      <c r="J84" s="51">
        <f>K84-1</f>
        <v>2022</v>
      </c>
      <c r="K84" s="51">
        <f>L84-1</f>
        <v>2023</v>
      </c>
      <c r="L84" s="28">
        <f>$L$19</f>
        <v>2024</v>
      </c>
      <c r="M84" s="28">
        <f>L84+1</f>
        <v>2025</v>
      </c>
      <c r="N84" s="28">
        <f>M84+1</f>
        <v>2026</v>
      </c>
      <c r="O84" s="28">
        <f>N84+1</f>
        <v>2027</v>
      </c>
      <c r="P84" s="28">
        <f>O84+1</f>
        <v>2028</v>
      </c>
    </row>
    <row r="86" spans="2:18">
      <c r="B86" s="28" t="s">
        <v>56</v>
      </c>
    </row>
    <row r="87" spans="2:18">
      <c r="C87" t="s">
        <v>53</v>
      </c>
      <c r="F87" s="24"/>
      <c r="G87" s="48"/>
      <c r="H87" s="109">
        <v>19004.269999999997</v>
      </c>
      <c r="I87" s="109">
        <v>18735.182000000001</v>
      </c>
      <c r="J87" s="109">
        <v>15599.986999999999</v>
      </c>
      <c r="K87" s="109">
        <v>16578.335000000003</v>
      </c>
      <c r="L87" s="49">
        <f>L141</f>
        <v>17388.862058951243</v>
      </c>
      <c r="M87" s="49">
        <f>M141</f>
        <v>19811.483565165006</v>
      </c>
      <c r="N87" s="49">
        <f>N141</f>
        <v>22656.039532426053</v>
      </c>
      <c r="O87" s="49">
        <f>O141</f>
        <v>25953.176156522895</v>
      </c>
      <c r="P87" s="49">
        <f>P141</f>
        <v>29049.09920864283</v>
      </c>
      <c r="R87" s="400"/>
    </row>
    <row r="88" spans="2:18">
      <c r="C88" t="s">
        <v>54</v>
      </c>
      <c r="F88" s="24"/>
      <c r="G88" s="48"/>
      <c r="H88" s="109">
        <v>4303.1379999999999</v>
      </c>
      <c r="I88" s="109">
        <v>4791.634</v>
      </c>
      <c r="J88" s="109">
        <v>5349.1049999999996</v>
      </c>
      <c r="K88" s="109">
        <v>5741.4570000000003</v>
      </c>
      <c r="L88" s="44">
        <f>L49*L29/365</f>
        <v>5989.9192048278701</v>
      </c>
      <c r="M88" s="44">
        <f>M49*M29/365</f>
        <v>6469.1127412141004</v>
      </c>
      <c r="N88" s="44">
        <f>N49*N29/365</f>
        <v>6986.6417605112283</v>
      </c>
      <c r="O88" s="44">
        <f>O49*O29/365</f>
        <v>7545.5731013521272</v>
      </c>
      <c r="P88" s="44">
        <f>P49*P29/365</f>
        <v>7847.3960254062131</v>
      </c>
    </row>
    <row r="89" spans="2:18">
      <c r="C89" t="s">
        <v>12</v>
      </c>
      <c r="F89" s="24"/>
      <c r="G89" s="48"/>
      <c r="H89" s="109">
        <v>7605.9049999999997</v>
      </c>
      <c r="I89" s="109">
        <v>11000.346</v>
      </c>
      <c r="J89" s="109">
        <v>12923.025</v>
      </c>
      <c r="K89" s="109">
        <v>9619.0220000000008</v>
      </c>
      <c r="L89" s="44">
        <f>L50*-L30/365</f>
        <v>11687.035346535284</v>
      </c>
      <c r="M89" s="44">
        <f>M50*-M30/365</f>
        <v>12621.998174258108</v>
      </c>
      <c r="N89" s="44">
        <f>N50*-N30/365</f>
        <v>13631.758028198758</v>
      </c>
      <c r="O89" s="44">
        <f>O50*-O30/365</f>
        <v>14722.298670454658</v>
      </c>
      <c r="P89" s="44">
        <f>P50*-P30/365</f>
        <v>15311.190617272845</v>
      </c>
    </row>
    <row r="90" spans="2:18">
      <c r="C90" t="s">
        <v>55</v>
      </c>
      <c r="F90" s="24"/>
      <c r="G90" s="48"/>
      <c r="H90" s="109">
        <v>32348.911</v>
      </c>
      <c r="I90" s="109">
        <v>37913.275999999998</v>
      </c>
      <c r="J90" s="109">
        <v>39277.938999999998</v>
      </c>
      <c r="K90" s="109">
        <v>36671.888999999996</v>
      </c>
      <c r="L90" s="44">
        <f>L162</f>
        <v>37531.836769926966</v>
      </c>
      <c r="M90" s="44">
        <f>M162</f>
        <v>38411.950126824442</v>
      </c>
      <c r="N90" s="44">
        <f>N162</f>
        <v>39312.70194929283</v>
      </c>
      <c r="O90" s="44">
        <f>O162</f>
        <v>40234.576204832221</v>
      </c>
      <c r="P90" s="44">
        <f>P162</f>
        <v>41178.068209874618</v>
      </c>
    </row>
    <row r="91" spans="2:18">
      <c r="C91" s="9" t="s">
        <v>8</v>
      </c>
      <c r="F91" s="24"/>
      <c r="G91" s="48"/>
      <c r="H91" s="110">
        <v>61934.35500000001</v>
      </c>
      <c r="I91" s="110">
        <v>66162.044999999998</v>
      </c>
      <c r="J91" s="110">
        <v>64808.026999999995</v>
      </c>
      <c r="K91" s="110">
        <v>64033.429999999993</v>
      </c>
      <c r="L91" s="75">
        <f>K91</f>
        <v>64033.429999999993</v>
      </c>
      <c r="M91" s="75">
        <f>L91</f>
        <v>64033.429999999993</v>
      </c>
      <c r="N91" s="75">
        <f>M91</f>
        <v>64033.429999999993</v>
      </c>
      <c r="O91" s="75">
        <f>N91</f>
        <v>64033.429999999993</v>
      </c>
      <c r="P91" s="75">
        <f>O91</f>
        <v>64033.429999999993</v>
      </c>
    </row>
    <row r="92" spans="2:18" ht="13.8" thickBot="1">
      <c r="C92" s="28" t="s">
        <v>57</v>
      </c>
      <c r="F92" s="29"/>
      <c r="G92" s="66"/>
      <c r="H92" s="116">
        <f t="shared" ref="H92:P92" si="12">SUBTOTAL(9,H87:H91)</f>
        <v>125196.579</v>
      </c>
      <c r="I92" s="116">
        <f t="shared" si="12"/>
        <v>138602.48300000001</v>
      </c>
      <c r="J92" s="116">
        <f t="shared" si="12"/>
        <v>137958.08299999998</v>
      </c>
      <c r="K92" s="116">
        <f t="shared" si="12"/>
        <v>132644.13299999997</v>
      </c>
      <c r="L92" s="116">
        <f t="shared" si="12"/>
        <v>136631.08338024135</v>
      </c>
      <c r="M92" s="116">
        <f t="shared" si="12"/>
        <v>141347.97460746166</v>
      </c>
      <c r="N92" s="116">
        <f t="shared" si="12"/>
        <v>146620.57127042886</v>
      </c>
      <c r="O92" s="116">
        <f t="shared" si="12"/>
        <v>152489.0541331619</v>
      </c>
      <c r="P92" s="116">
        <f t="shared" si="12"/>
        <v>157419.18406119652</v>
      </c>
    </row>
    <row r="93" spans="2:18" ht="13.8" thickTop="1">
      <c r="F93" s="49"/>
      <c r="G93" s="44"/>
      <c r="H93" s="49"/>
      <c r="I93" s="49"/>
      <c r="J93" s="49"/>
      <c r="K93" s="44"/>
      <c r="L93" s="44"/>
      <c r="M93" s="44"/>
      <c r="N93" s="44"/>
      <c r="O93" s="44"/>
      <c r="P93" s="44"/>
    </row>
    <row r="94" spans="2:18">
      <c r="F94" s="49"/>
      <c r="G94" s="44"/>
      <c r="H94" s="49"/>
      <c r="I94" s="49"/>
      <c r="J94" s="49"/>
      <c r="K94" s="44"/>
      <c r="L94" s="44"/>
      <c r="M94" s="44"/>
      <c r="N94" s="44"/>
      <c r="O94" s="44"/>
      <c r="P94" s="44"/>
    </row>
    <row r="95" spans="2:18">
      <c r="B95" s="23" t="s">
        <v>58</v>
      </c>
      <c r="F95" s="49"/>
      <c r="G95" s="44"/>
      <c r="H95" s="49"/>
      <c r="I95" s="49"/>
      <c r="J95" s="49"/>
      <c r="K95" s="44"/>
      <c r="L95" s="44"/>
      <c r="M95" s="44"/>
      <c r="N95" s="44"/>
      <c r="O95" s="44"/>
      <c r="P95" s="44"/>
    </row>
    <row r="96" spans="2:18">
      <c r="C96" s="9" t="s">
        <v>59</v>
      </c>
      <c r="F96" s="24"/>
      <c r="G96" s="48"/>
      <c r="H96" s="109">
        <v>20920.626</v>
      </c>
      <c r="I96" s="109">
        <v>28134.415000000001</v>
      </c>
      <c r="J96" s="109">
        <v>27173.781999999999</v>
      </c>
      <c r="K96" s="109">
        <v>25630.947999999997</v>
      </c>
      <c r="L96" s="44">
        <f>L50*L31/365</f>
        <v>27453.098354343278</v>
      </c>
      <c r="M96" s="44">
        <f>M50*M31/365</f>
        <v>29649.34622269074</v>
      </c>
      <c r="N96" s="44">
        <f>N50*N31/365</f>
        <v>32021.293920506003</v>
      </c>
      <c r="O96" s="44">
        <f>O50*O31/365</f>
        <v>34582.997434146484</v>
      </c>
      <c r="P96" s="44">
        <f>P50*P31/365</f>
        <v>35966.317331512342</v>
      </c>
    </row>
    <row r="97" spans="2:18">
      <c r="C97" s="9" t="s">
        <v>60</v>
      </c>
      <c r="F97" s="24"/>
      <c r="G97" s="48"/>
      <c r="H97" s="117">
        <v>4792.2280000000001</v>
      </c>
      <c r="I97" s="117">
        <v>3100.5239999999999</v>
      </c>
      <c r="J97" s="117">
        <v>3845.049</v>
      </c>
      <c r="K97" s="117">
        <v>3501.0659999999998</v>
      </c>
      <c r="L97" s="49">
        <f>L167</f>
        <v>3101.0659999999998</v>
      </c>
      <c r="M97" s="49">
        <f>M167</f>
        <v>2701.0659999999998</v>
      </c>
      <c r="N97" s="49">
        <f>N167</f>
        <v>2301.0659999999998</v>
      </c>
      <c r="O97" s="49">
        <f>O167</f>
        <v>1901.0659999999998</v>
      </c>
      <c r="P97" s="49">
        <f>P167</f>
        <v>1501.0659999999998</v>
      </c>
    </row>
    <row r="98" spans="2:18">
      <c r="C98" s="9" t="s">
        <v>8</v>
      </c>
      <c r="F98" s="24"/>
      <c r="G98" s="48"/>
      <c r="H98" s="110">
        <v>24332.600999999995</v>
      </c>
      <c r="I98" s="110">
        <v>23349.413</v>
      </c>
      <c r="J98" s="110">
        <v>23611.424999999999</v>
      </c>
      <c r="K98" s="110">
        <v>23368.317000000003</v>
      </c>
      <c r="L98" s="75">
        <f>K98</f>
        <v>23368.317000000003</v>
      </c>
      <c r="M98" s="75">
        <f>L98</f>
        <v>23368.317000000003</v>
      </c>
      <c r="N98" s="75">
        <f>M98</f>
        <v>23368.317000000003</v>
      </c>
      <c r="O98" s="75">
        <f>N98</f>
        <v>23368.317000000003</v>
      </c>
      <c r="P98" s="75">
        <f>O98</f>
        <v>23368.317000000003</v>
      </c>
    </row>
    <row r="99" spans="2:18">
      <c r="C99" s="26" t="s">
        <v>77</v>
      </c>
      <c r="F99" s="29"/>
      <c r="G99" s="66"/>
      <c r="H99" s="66">
        <f t="shared" ref="H99:P99" si="13">SUBTOTAL(9,H96:H98)</f>
        <v>50045.454999999994</v>
      </c>
      <c r="I99" s="66">
        <f t="shared" si="13"/>
        <v>54584.351999999999</v>
      </c>
      <c r="J99" s="66">
        <f t="shared" si="13"/>
        <v>54630.255999999994</v>
      </c>
      <c r="K99" s="66">
        <f t="shared" si="13"/>
        <v>52500.330999999998</v>
      </c>
      <c r="L99" s="66">
        <f t="shared" si="13"/>
        <v>53922.481354343283</v>
      </c>
      <c r="M99" s="66">
        <f t="shared" si="13"/>
        <v>55718.729222690745</v>
      </c>
      <c r="N99" s="66">
        <f t="shared" si="13"/>
        <v>57690.676920506005</v>
      </c>
      <c r="O99" s="66">
        <f t="shared" si="13"/>
        <v>59852.380434146486</v>
      </c>
      <c r="P99" s="66">
        <f t="shared" si="13"/>
        <v>60835.700331512344</v>
      </c>
    </row>
    <row r="100" spans="2:18">
      <c r="F100" s="49"/>
      <c r="G100" s="49"/>
      <c r="H100" s="49"/>
      <c r="I100" s="49"/>
      <c r="J100" s="49"/>
      <c r="K100" s="44"/>
      <c r="L100" s="44"/>
      <c r="M100" s="44"/>
      <c r="N100" s="44"/>
      <c r="O100" s="44"/>
      <c r="P100" s="44"/>
    </row>
    <row r="101" spans="2:18">
      <c r="C101" s="23" t="s">
        <v>78</v>
      </c>
      <c r="F101" s="29"/>
      <c r="G101" s="48"/>
      <c r="H101" s="118">
        <v>75151.123999999996</v>
      </c>
      <c r="I101" s="118">
        <v>84017.616999999998</v>
      </c>
      <c r="J101" s="118">
        <v>83327.827000000005</v>
      </c>
      <c r="K101" s="118">
        <v>80143.801999999996</v>
      </c>
      <c r="L101" s="74">
        <f>K101+L122+L134+L133</f>
        <v>82708.602025898072</v>
      </c>
      <c r="M101" s="74">
        <f t="shared" ref="M101:P101" si="14">L101+M122+M134+M133</f>
        <v>85629.245384770911</v>
      </c>
      <c r="N101" s="74">
        <f t="shared" si="14"/>
        <v>88929.894349922877</v>
      </c>
      <c r="O101" s="74">
        <f t="shared" si="14"/>
        <v>92636.673699015431</v>
      </c>
      <c r="P101" s="74">
        <f t="shared" si="14"/>
        <v>96583.483729684172</v>
      </c>
      <c r="R101" s="31"/>
    </row>
    <row r="102" spans="2:18">
      <c r="F102" s="49"/>
      <c r="G102" s="49"/>
      <c r="H102" s="44"/>
      <c r="I102" s="44"/>
      <c r="J102" s="44"/>
      <c r="K102" s="44"/>
      <c r="L102" s="44"/>
      <c r="M102" s="44"/>
      <c r="N102" s="44"/>
      <c r="O102" s="44"/>
      <c r="P102" s="44"/>
    </row>
    <row r="103" spans="2:18" ht="13.8" thickBot="1">
      <c r="C103" s="23" t="s">
        <v>61</v>
      </c>
      <c r="F103" s="29"/>
      <c r="G103" s="66"/>
      <c r="H103" s="116">
        <f t="shared" ref="H103:P103" si="15">SUBTOTAL(9,H96:H101)</f>
        <v>125196.579</v>
      </c>
      <c r="I103" s="116">
        <f t="shared" si="15"/>
        <v>138601.96899999998</v>
      </c>
      <c r="J103" s="116">
        <f t="shared" si="15"/>
        <v>137958.08299999998</v>
      </c>
      <c r="K103" s="116">
        <f t="shared" si="15"/>
        <v>132644.133</v>
      </c>
      <c r="L103" s="116">
        <f t="shared" si="15"/>
        <v>136631.08338024135</v>
      </c>
      <c r="M103" s="116">
        <f t="shared" si="15"/>
        <v>141347.97460746166</v>
      </c>
      <c r="N103" s="116">
        <f t="shared" si="15"/>
        <v>146620.57127042889</v>
      </c>
      <c r="O103" s="116">
        <f t="shared" si="15"/>
        <v>152489.0541331619</v>
      </c>
      <c r="P103" s="116">
        <f t="shared" si="15"/>
        <v>157419.18406119652</v>
      </c>
    </row>
    <row r="104" spans="2:18" ht="13.8" thickTop="1">
      <c r="C104" s="23"/>
      <c r="F104" s="29"/>
      <c r="G104" s="66"/>
      <c r="H104" s="66"/>
      <c r="I104" s="66"/>
      <c r="J104" s="66"/>
      <c r="K104" s="66"/>
      <c r="L104" s="66"/>
      <c r="M104" s="66"/>
      <c r="N104" s="66"/>
      <c r="O104" s="66"/>
      <c r="P104" s="66"/>
    </row>
    <row r="105" spans="2:18">
      <c r="B105" s="41" t="s">
        <v>84</v>
      </c>
      <c r="C105" s="3"/>
      <c r="D105" s="3"/>
      <c r="E105" s="3"/>
      <c r="F105" s="42"/>
      <c r="G105" s="3"/>
      <c r="H105" s="3"/>
      <c r="I105" s="69"/>
      <c r="J105" s="69"/>
      <c r="K105" s="69"/>
      <c r="L105" s="69"/>
      <c r="M105" s="69"/>
      <c r="N105" s="69"/>
      <c r="O105" s="69"/>
      <c r="P105" s="69"/>
      <c r="Q105" s="273"/>
    </row>
    <row r="106" spans="2:18">
      <c r="B106" s="4"/>
      <c r="C106" s="413" t="s">
        <v>94</v>
      </c>
      <c r="D106" s="413"/>
      <c r="E106" s="413"/>
      <c r="F106" s="416"/>
      <c r="G106" s="413"/>
      <c r="H106" s="49">
        <f t="shared" ref="H106:P106" si="16">H97-H87</f>
        <v>-14212.041999999998</v>
      </c>
      <c r="I106" s="49">
        <f t="shared" si="16"/>
        <v>-15634.658000000001</v>
      </c>
      <c r="J106" s="49">
        <f t="shared" si="16"/>
        <v>-11754.937999999998</v>
      </c>
      <c r="K106" s="49">
        <f t="shared" si="16"/>
        <v>-13077.269000000004</v>
      </c>
      <c r="L106" s="49">
        <f t="shared" si="16"/>
        <v>-14287.796058951244</v>
      </c>
      <c r="M106" s="49">
        <f t="shared" si="16"/>
        <v>-17110.417565165008</v>
      </c>
      <c r="N106" s="49">
        <f t="shared" si="16"/>
        <v>-20354.973532426055</v>
      </c>
      <c r="O106" s="49">
        <f t="shared" si="16"/>
        <v>-24052.110156522896</v>
      </c>
      <c r="P106" s="49">
        <f t="shared" si="16"/>
        <v>-27548.033208642832</v>
      </c>
      <c r="Q106" s="272"/>
    </row>
    <row r="107" spans="2:18">
      <c r="B107" s="4"/>
      <c r="C107" s="413" t="s">
        <v>85</v>
      </c>
      <c r="D107" s="413"/>
      <c r="E107" s="413"/>
      <c r="F107" s="416"/>
      <c r="G107" s="413"/>
      <c r="H107" s="417">
        <f t="shared" ref="H107:P107" si="17">IFERROR(H106/H55," ")</f>
        <v>-0.67367654141211852</v>
      </c>
      <c r="I107" s="417">
        <f t="shared" si="17"/>
        <v>-0.69918651994355241</v>
      </c>
      <c r="J107" s="417">
        <f t="shared" si="17"/>
        <v>-0.49777231422789403</v>
      </c>
      <c r="K107" s="417">
        <f t="shared" si="17"/>
        <v>-0.52176331065556258</v>
      </c>
      <c r="L107" s="417">
        <f t="shared" si="17"/>
        <v>-0.56618536193965352</v>
      </c>
      <c r="M107" s="417">
        <f t="shared" si="17"/>
        <v>-0.63141704150298272</v>
      </c>
      <c r="N107" s="417">
        <f t="shared" si="17"/>
        <v>-0.69922530233158542</v>
      </c>
      <c r="O107" s="417">
        <f t="shared" si="17"/>
        <v>-0.7688299262854974</v>
      </c>
      <c r="P107" s="417">
        <f t="shared" si="17"/>
        <v>-0.84873843741056365</v>
      </c>
      <c r="Q107" s="272"/>
    </row>
    <row r="108" spans="2:18">
      <c r="B108" s="4"/>
      <c r="C108" s="413" t="s">
        <v>95</v>
      </c>
      <c r="D108" s="413"/>
      <c r="E108" s="413"/>
      <c r="F108" s="416"/>
      <c r="G108" s="413"/>
      <c r="H108" s="417">
        <f t="shared" ref="H108:P108" si="18">IFERROR(H97/H101," ")</f>
        <v>6.376788190154016E-2</v>
      </c>
      <c r="I108" s="417">
        <f t="shared" si="18"/>
        <v>3.6903260419776006E-2</v>
      </c>
      <c r="J108" s="417">
        <f t="shared" si="18"/>
        <v>4.6143636986957545E-2</v>
      </c>
      <c r="K108" s="417">
        <f t="shared" si="18"/>
        <v>4.3684800479018952E-2</v>
      </c>
      <c r="L108" s="417">
        <f t="shared" si="18"/>
        <v>3.7493875171883337E-2</v>
      </c>
      <c r="M108" s="417">
        <f t="shared" si="18"/>
        <v>3.1543732376279728E-2</v>
      </c>
      <c r="N108" s="417">
        <f t="shared" si="18"/>
        <v>2.5875056040724907E-2</v>
      </c>
      <c r="O108" s="417">
        <f t="shared" si="18"/>
        <v>2.0521742891770139E-2</v>
      </c>
      <c r="P108" s="417">
        <f t="shared" si="18"/>
        <v>1.5541642753342298E-2</v>
      </c>
      <c r="Q108" s="272"/>
    </row>
    <row r="109" spans="2:18">
      <c r="B109" s="8"/>
      <c r="C109" s="7" t="s">
        <v>88</v>
      </c>
      <c r="D109" s="7"/>
      <c r="E109" s="7"/>
      <c r="F109" s="43"/>
      <c r="G109" s="7"/>
      <c r="H109" s="135">
        <f t="shared" ref="H109:P109" si="19">IFERROR(H92/H101," ")</f>
        <v>1.6659308914661077</v>
      </c>
      <c r="I109" s="135">
        <f t="shared" si="19"/>
        <v>1.6496835776715735</v>
      </c>
      <c r="J109" s="135">
        <f t="shared" si="19"/>
        <v>1.6556063918479476</v>
      </c>
      <c r="K109" s="135">
        <f t="shared" si="19"/>
        <v>1.6550766208970218</v>
      </c>
      <c r="L109" s="135">
        <f t="shared" si="19"/>
        <v>1.6519573542962176</v>
      </c>
      <c r="M109" s="135">
        <f t="shared" si="19"/>
        <v>1.6506974220352089</v>
      </c>
      <c r="N109" s="135">
        <f t="shared" si="19"/>
        <v>1.6487208530070183</v>
      </c>
      <c r="O109" s="135">
        <f t="shared" si="19"/>
        <v>1.6460981169143878</v>
      </c>
      <c r="P109" s="135">
        <f t="shared" si="19"/>
        <v>1.6298768483209616</v>
      </c>
      <c r="Q109" s="274"/>
    </row>
    <row r="110" spans="2:18">
      <c r="F110" s="79"/>
      <c r="G110" s="79"/>
      <c r="H110" s="44"/>
      <c r="I110" s="44"/>
      <c r="J110" s="44"/>
      <c r="K110" s="44"/>
      <c r="L110" s="44"/>
      <c r="M110" s="44"/>
      <c r="N110" s="44"/>
      <c r="O110" s="44"/>
      <c r="P110" s="44"/>
    </row>
    <row r="111" spans="2:18">
      <c r="B111" s="119"/>
      <c r="C111" s="120"/>
      <c r="D111" s="50" t="s">
        <v>3</v>
      </c>
      <c r="E111" s="50"/>
      <c r="F111" s="50"/>
      <c r="G111" s="121"/>
      <c r="H111" s="122">
        <f t="shared" ref="H111:P111" si="20">ROUND(H92-H103,3)</f>
        <v>0</v>
      </c>
      <c r="I111" s="122">
        <f t="shared" si="20"/>
        <v>0.51400000000000001</v>
      </c>
      <c r="J111" s="122">
        <f t="shared" si="20"/>
        <v>0</v>
      </c>
      <c r="K111" s="122">
        <f t="shared" si="20"/>
        <v>0</v>
      </c>
      <c r="L111" s="122">
        <f t="shared" si="20"/>
        <v>0</v>
      </c>
      <c r="M111" s="122">
        <f t="shared" si="20"/>
        <v>0</v>
      </c>
      <c r="N111" s="122">
        <f t="shared" si="20"/>
        <v>0</v>
      </c>
      <c r="O111" s="122">
        <f t="shared" si="20"/>
        <v>0</v>
      </c>
      <c r="P111" s="275">
        <f t="shared" si="20"/>
        <v>0</v>
      </c>
    </row>
    <row r="114" spans="2:17" ht="12.75" customHeight="1">
      <c r="O114" s="30"/>
      <c r="Q114" s="30" t="str">
        <f>$Q$4</f>
        <v>MODELO ATUAL: CENÁRIO BASE</v>
      </c>
    </row>
    <row r="115" spans="2:17" ht="22.8">
      <c r="B115" s="1" t="str">
        <f>TITLE</f>
        <v>AMBEV</v>
      </c>
      <c r="C115" s="2"/>
      <c r="D115" s="2"/>
      <c r="E115" s="2"/>
      <c r="F115" s="16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spans="2:17" ht="17.399999999999999">
      <c r="B116" s="17" t="s">
        <v>43</v>
      </c>
      <c r="C116" s="18"/>
      <c r="D116" s="18"/>
      <c r="E116" s="18"/>
      <c r="F116" s="19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</row>
    <row r="117" spans="2:17" ht="3" customHeight="1" thickBot="1">
      <c r="B117" s="52"/>
      <c r="C117" s="53"/>
      <c r="D117" s="53"/>
      <c r="E117" s="53"/>
      <c r="F117" s="54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</row>
    <row r="118" spans="2:17" ht="17.399999999999999">
      <c r="B118" s="34" t="str">
        <f>$B$8</f>
        <v>(R$ Milhões)</v>
      </c>
      <c r="C118" s="18"/>
      <c r="D118" s="18"/>
      <c r="E118" s="18"/>
      <c r="F118" s="19"/>
      <c r="G118" s="18"/>
      <c r="H118" s="18"/>
      <c r="I118" s="18"/>
      <c r="J118" s="18"/>
      <c r="K118" s="18"/>
      <c r="L118" s="18"/>
      <c r="M118" s="18"/>
      <c r="N118" s="18"/>
      <c r="O118" s="18"/>
      <c r="P118" s="18"/>
    </row>
    <row r="119" spans="2:17">
      <c r="F119" s="20"/>
      <c r="G119" s="21"/>
      <c r="H119" s="21"/>
      <c r="L119" s="22" t="s">
        <v>23</v>
      </c>
      <c r="M119" s="10"/>
      <c r="N119" s="10"/>
      <c r="O119" s="10"/>
      <c r="P119" s="10"/>
    </row>
    <row r="120" spans="2:17">
      <c r="F120" s="20"/>
      <c r="G120" s="11"/>
      <c r="H120" s="51">
        <f>I120-1</f>
        <v>2020</v>
      </c>
      <c r="I120" s="51">
        <f>J120-1</f>
        <v>2021</v>
      </c>
      <c r="J120" s="51">
        <f>K120-1</f>
        <v>2022</v>
      </c>
      <c r="K120" s="51">
        <f>L120-1</f>
        <v>2023</v>
      </c>
      <c r="L120" s="28">
        <f>$L$19</f>
        <v>2024</v>
      </c>
      <c r="M120" s="28">
        <f>L120+1</f>
        <v>2025</v>
      </c>
      <c r="N120" s="28">
        <f>M120+1</f>
        <v>2026</v>
      </c>
      <c r="O120" s="28">
        <f>N120+1</f>
        <v>2027</v>
      </c>
      <c r="P120" s="28">
        <f>O120+1</f>
        <v>2028</v>
      </c>
    </row>
    <row r="121" spans="2:17">
      <c r="B121" s="28" t="s">
        <v>44</v>
      </c>
    </row>
    <row r="122" spans="2:17">
      <c r="C122" t="s">
        <v>47</v>
      </c>
      <c r="G122" s="44"/>
      <c r="H122" s="44">
        <f t="shared" ref="H122:P122" si="21">H64</f>
        <v>11731.909000000009</v>
      </c>
      <c r="I122" s="44">
        <f t="shared" si="21"/>
        <v>13122.581999999995</v>
      </c>
      <c r="J122" s="44">
        <f t="shared" si="21"/>
        <v>14891.290999999999</v>
      </c>
      <c r="K122" s="44">
        <f t="shared" si="21"/>
        <v>14960.459000000003</v>
      </c>
      <c r="L122" s="44">
        <f t="shared" si="21"/>
        <v>14560.000143878227</v>
      </c>
      <c r="M122" s="44">
        <f t="shared" si="21"/>
        <v>16536.907549293534</v>
      </c>
      <c r="N122" s="44">
        <f t="shared" si="21"/>
        <v>18648.049806399762</v>
      </c>
      <c r="O122" s="44">
        <f t="shared" si="21"/>
        <v>20904.329717180819</v>
      </c>
      <c r="P122" s="44">
        <f t="shared" si="21"/>
        <v>22237.833503715261</v>
      </c>
    </row>
    <row r="123" spans="2:17">
      <c r="C123" t="s">
        <v>39</v>
      </c>
      <c r="G123" s="44"/>
      <c r="H123" s="44">
        <f t="shared" ref="H123:P123" si="22">-H57</f>
        <v>5167.3500000000004</v>
      </c>
      <c r="I123" s="44">
        <f t="shared" si="22"/>
        <v>5396.6869999999999</v>
      </c>
      <c r="J123" s="44">
        <f t="shared" si="22"/>
        <v>5956.25</v>
      </c>
      <c r="K123" s="44">
        <f t="shared" si="22"/>
        <v>6417.9120000000003</v>
      </c>
      <c r="L123" s="44">
        <f t="shared" si="22"/>
        <v>5732.9851328464711</v>
      </c>
      <c r="M123" s="44">
        <f t="shared" si="22"/>
        <v>5867.4223793165338</v>
      </c>
      <c r="N123" s="44">
        <f t="shared" si="22"/>
        <v>6005.0121497893024</v>
      </c>
      <c r="O123" s="44">
        <f t="shared" si="22"/>
        <v>6145.8283702625813</v>
      </c>
      <c r="P123" s="44">
        <f t="shared" si="22"/>
        <v>6289.9467002826477</v>
      </c>
    </row>
    <row r="124" spans="2:17">
      <c r="C124" t="s">
        <v>48</v>
      </c>
      <c r="G124" s="48"/>
      <c r="H124" s="108">
        <v>897.56999999999971</v>
      </c>
      <c r="I124" s="108">
        <v>2999.4590000000003</v>
      </c>
      <c r="J124" s="108">
        <v>-2683.9089999999997</v>
      </c>
      <c r="K124" s="108">
        <v>-296.21799999999996</v>
      </c>
      <c r="L124" s="75">
        <f>L156</f>
        <v>-494.32519701987076</v>
      </c>
      <c r="M124" s="75">
        <f>M156</f>
        <v>782.09150423840765</v>
      </c>
      <c r="N124" s="75">
        <f>N156</f>
        <v>844.65882457748376</v>
      </c>
      <c r="O124" s="75">
        <f>O156</f>
        <v>912.23153054368231</v>
      </c>
      <c r="P124" s="75">
        <f>P156</f>
        <v>492.60502649358386</v>
      </c>
    </row>
    <row r="125" spans="2:17">
      <c r="C125" s="23" t="s">
        <v>2</v>
      </c>
      <c r="G125" s="66"/>
      <c r="H125" s="74">
        <f>SUBTOTAL(9,H122:H124)</f>
        <v>17796.829000000009</v>
      </c>
      <c r="I125" s="74">
        <f t="shared" ref="I125:P125" si="23">SUBTOTAL(9,I122:I124)</f>
        <v>21518.727999999992</v>
      </c>
      <c r="J125" s="74">
        <f t="shared" si="23"/>
        <v>18163.631999999998</v>
      </c>
      <c r="K125" s="74">
        <f t="shared" si="23"/>
        <v>21082.153000000002</v>
      </c>
      <c r="L125" s="74">
        <f t="shared" si="23"/>
        <v>19798.66007970483</v>
      </c>
      <c r="M125" s="74">
        <f t="shared" si="23"/>
        <v>23186.421432848474</v>
      </c>
      <c r="N125" s="74">
        <f t="shared" si="23"/>
        <v>25497.720780766547</v>
      </c>
      <c r="O125" s="74">
        <f t="shared" si="23"/>
        <v>27962.389617987083</v>
      </c>
      <c r="P125" s="74">
        <f t="shared" si="23"/>
        <v>29020.385230491491</v>
      </c>
    </row>
    <row r="126" spans="2:17">
      <c r="B126" s="6"/>
      <c r="G126" s="45"/>
      <c r="H126" s="45"/>
      <c r="I126" s="71"/>
      <c r="J126" s="71"/>
      <c r="K126" s="71"/>
      <c r="L126" s="71"/>
      <c r="M126" s="71"/>
      <c r="N126" s="71"/>
      <c r="O126" s="71"/>
      <c r="P126" s="71"/>
    </row>
    <row r="127" spans="2:17">
      <c r="B127" s="28" t="s">
        <v>45</v>
      </c>
      <c r="G127" s="45"/>
      <c r="H127" s="45"/>
      <c r="I127" s="46"/>
      <c r="J127" s="46"/>
      <c r="K127" s="46"/>
      <c r="L127" s="44"/>
      <c r="M127" s="44"/>
      <c r="N127" s="44"/>
      <c r="O127" s="44"/>
      <c r="P127" s="44"/>
    </row>
    <row r="128" spans="2:17">
      <c r="C128" t="s">
        <v>4</v>
      </c>
      <c r="F128" s="20"/>
      <c r="H128" s="109">
        <v>-5124.2019999999993</v>
      </c>
      <c r="I128" s="109">
        <v>-7810.8980000000001</v>
      </c>
      <c r="J128" s="109">
        <v>-6536.027</v>
      </c>
      <c r="K128" s="109">
        <v>-6050.6280000000006</v>
      </c>
      <c r="L128" s="75">
        <f>L34</f>
        <v>-6592.9329027734411</v>
      </c>
      <c r="M128" s="75">
        <f>M34</f>
        <v>-6747.535736214013</v>
      </c>
      <c r="N128" s="75">
        <f>N34</f>
        <v>-6905.7639722576969</v>
      </c>
      <c r="O128" s="75">
        <f>O34</f>
        <v>-7067.7026258019678</v>
      </c>
      <c r="P128" s="75">
        <f>P34</f>
        <v>-7233.4387053250439</v>
      </c>
    </row>
    <row r="129" spans="2:17">
      <c r="C129" s="28" t="s">
        <v>49</v>
      </c>
      <c r="G129" s="66"/>
      <c r="H129" s="78">
        <f>SUBTOTAL(9,H128)</f>
        <v>-5124.2019999999993</v>
      </c>
      <c r="I129" s="78">
        <f t="shared" ref="I129:P129" si="24">SUBTOTAL(9,I128)</f>
        <v>-7810.8980000000001</v>
      </c>
      <c r="J129" s="78">
        <f t="shared" si="24"/>
        <v>-6536.027</v>
      </c>
      <c r="K129" s="78">
        <f t="shared" si="24"/>
        <v>-6050.6280000000006</v>
      </c>
      <c r="L129" s="78">
        <f t="shared" si="24"/>
        <v>-6592.9329027734411</v>
      </c>
      <c r="M129" s="78">
        <f t="shared" si="24"/>
        <v>-6747.535736214013</v>
      </c>
      <c r="N129" s="78">
        <f t="shared" si="24"/>
        <v>-6905.7639722576969</v>
      </c>
      <c r="O129" s="78">
        <f t="shared" si="24"/>
        <v>-7067.7026258019678</v>
      </c>
      <c r="P129" s="78">
        <f t="shared" si="24"/>
        <v>-7233.4387053250439</v>
      </c>
    </row>
    <row r="130" spans="2:17">
      <c r="B130" s="26"/>
      <c r="G130" s="66"/>
      <c r="H130" s="66"/>
      <c r="I130" s="77"/>
      <c r="J130" s="77"/>
      <c r="K130" s="77"/>
      <c r="L130" s="72"/>
      <c r="M130" s="72"/>
      <c r="N130" s="72"/>
      <c r="O130" s="72"/>
      <c r="P130" s="72"/>
    </row>
    <row r="131" spans="2:17">
      <c r="B131" s="26" t="s">
        <v>46</v>
      </c>
      <c r="G131" s="66"/>
      <c r="H131" s="66"/>
      <c r="I131" s="74"/>
      <c r="J131" s="74"/>
      <c r="K131" s="74"/>
      <c r="L131" s="73"/>
      <c r="M131" s="73"/>
      <c r="N131" s="73"/>
      <c r="O131" s="73"/>
      <c r="P131" s="73"/>
    </row>
    <row r="132" spans="2:17">
      <c r="B132" s="26"/>
      <c r="C132" t="s">
        <v>29</v>
      </c>
      <c r="G132" s="66"/>
      <c r="H132" s="109">
        <v>1724.9839999999999</v>
      </c>
      <c r="I132" s="109">
        <v>-2537.2829999999999</v>
      </c>
      <c r="J132" s="109">
        <v>-194.04800000000023</v>
      </c>
      <c r="K132" s="109">
        <v>-1406.623</v>
      </c>
      <c r="L132" s="128">
        <f t="shared" ref="L132:P133" si="25">L36</f>
        <v>-400</v>
      </c>
      <c r="M132" s="128">
        <f t="shared" si="25"/>
        <v>-400</v>
      </c>
      <c r="N132" s="128">
        <f t="shared" si="25"/>
        <v>-400</v>
      </c>
      <c r="O132" s="128">
        <f t="shared" si="25"/>
        <v>-400</v>
      </c>
      <c r="P132" s="128">
        <f t="shared" si="25"/>
        <v>-400</v>
      </c>
    </row>
    <row r="133" spans="2:17">
      <c r="B133" s="26"/>
      <c r="C133" t="s">
        <v>27</v>
      </c>
      <c r="G133" s="66"/>
      <c r="H133" s="109">
        <v>-7.3949999999999996</v>
      </c>
      <c r="I133" s="109">
        <v>-44.164999999999999</v>
      </c>
      <c r="J133" s="109">
        <v>-54.082000000000001</v>
      </c>
      <c r="K133" s="109">
        <v>-118.989</v>
      </c>
      <c r="L133" s="128">
        <f t="shared" si="25"/>
        <v>-56</v>
      </c>
      <c r="M133" s="128">
        <f t="shared" si="25"/>
        <v>-56</v>
      </c>
      <c r="N133" s="128">
        <f t="shared" si="25"/>
        <v>-56</v>
      </c>
      <c r="O133" s="128">
        <f t="shared" si="25"/>
        <v>-56</v>
      </c>
      <c r="P133" s="128">
        <f t="shared" si="25"/>
        <v>-56</v>
      </c>
    </row>
    <row r="134" spans="2:17">
      <c r="B134" s="26"/>
      <c r="C134" t="s">
        <v>50</v>
      </c>
      <c r="G134" s="66"/>
      <c r="H134" s="110">
        <v>-6850.2709999999997</v>
      </c>
      <c r="I134" s="110">
        <v>-11115.251</v>
      </c>
      <c r="J134" s="110">
        <v>-12242.324000000001</v>
      </c>
      <c r="K134" s="110">
        <v>-11921.949000000001</v>
      </c>
      <c r="L134" s="44">
        <f>-L122*L38</f>
        <v>-11939.200117980146</v>
      </c>
      <c r="M134" s="44">
        <f t="shared" ref="M134:P134" si="26">-M122*M38</f>
        <v>-13560.264190420698</v>
      </c>
      <c r="N134" s="44">
        <f t="shared" si="26"/>
        <v>-15291.400841247803</v>
      </c>
      <c r="O134" s="44">
        <f t="shared" si="26"/>
        <v>-17141.550368088272</v>
      </c>
      <c r="P134" s="44">
        <f t="shared" si="26"/>
        <v>-18235.023473046513</v>
      </c>
    </row>
    <row r="135" spans="2:17">
      <c r="B135" s="26"/>
      <c r="C135" s="28" t="s">
        <v>51</v>
      </c>
      <c r="G135" s="66"/>
      <c r="H135" s="78">
        <f>SUBTOTAL(9,H132:H134)</f>
        <v>-5132.6819999999998</v>
      </c>
      <c r="I135" s="78">
        <f t="shared" ref="I135:P135" si="27">SUBTOTAL(9,I132:I134)</f>
        <v>-13696.699000000001</v>
      </c>
      <c r="J135" s="78">
        <f t="shared" si="27"/>
        <v>-12490.454000000002</v>
      </c>
      <c r="K135" s="78">
        <f t="shared" si="27"/>
        <v>-13447.561000000002</v>
      </c>
      <c r="L135" s="78">
        <f t="shared" si="27"/>
        <v>-12395.200117980146</v>
      </c>
      <c r="M135" s="78">
        <f t="shared" si="27"/>
        <v>-14016.264190420698</v>
      </c>
      <c r="N135" s="78">
        <f t="shared" si="27"/>
        <v>-15747.400841247803</v>
      </c>
      <c r="O135" s="78">
        <f t="shared" si="27"/>
        <v>-17597.550368088272</v>
      </c>
      <c r="P135" s="78">
        <f t="shared" si="27"/>
        <v>-18691.023473046513</v>
      </c>
    </row>
    <row r="136" spans="2:17">
      <c r="B136" s="26"/>
      <c r="C136" s="28"/>
      <c r="G136" s="66"/>
      <c r="H136" s="66"/>
      <c r="I136" s="66"/>
      <c r="J136" s="66"/>
      <c r="K136" s="66"/>
      <c r="L136" s="66"/>
      <c r="M136" s="66"/>
      <c r="N136" s="66"/>
      <c r="O136" s="66"/>
      <c r="P136" s="66"/>
    </row>
    <row r="137" spans="2:17">
      <c r="B137" s="26"/>
      <c r="C137" s="28"/>
      <c r="G137" s="66"/>
      <c r="H137" s="66"/>
      <c r="I137" s="37"/>
      <c r="J137" s="37"/>
      <c r="K137" s="37"/>
      <c r="L137" s="37"/>
      <c r="M137" s="37"/>
      <c r="N137" s="37"/>
      <c r="O137" s="37"/>
      <c r="P137" s="37"/>
    </row>
    <row r="138" spans="2:17">
      <c r="B138" s="13"/>
      <c r="C138" s="111" t="s">
        <v>102</v>
      </c>
      <c r="D138" s="3"/>
      <c r="E138" s="3"/>
      <c r="F138" s="3"/>
      <c r="G138" s="78"/>
      <c r="H138" s="112">
        <f>SUBTOTAL(9,H122:H135)</f>
        <v>7539.9450000000097</v>
      </c>
      <c r="I138" s="112">
        <f>SUBTOTAL(9,I122:I135)</f>
        <v>11.130999999990308</v>
      </c>
      <c r="J138" s="112">
        <f>SUBTOTAL(9,J$122:J135)</f>
        <v>-862.8490000000038</v>
      </c>
      <c r="K138" s="112">
        <f t="shared" ref="K138:P138" si="28">SUBTOTAL(9,K122:K135)</f>
        <v>1583.9640000000018</v>
      </c>
      <c r="L138" s="112">
        <f t="shared" si="28"/>
        <v>810.527058951242</v>
      </c>
      <c r="M138" s="112">
        <f t="shared" si="28"/>
        <v>2422.6215062137635</v>
      </c>
      <c r="N138" s="112">
        <f t="shared" si="28"/>
        <v>2844.555967261047</v>
      </c>
      <c r="O138" s="112">
        <f t="shared" si="28"/>
        <v>3297.1366240968418</v>
      </c>
      <c r="P138" s="112">
        <f t="shared" si="28"/>
        <v>3095.9230521199352</v>
      </c>
      <c r="Q138" s="273"/>
    </row>
    <row r="139" spans="2:17">
      <c r="B139" s="4"/>
      <c r="C139" s="6" t="s">
        <v>103</v>
      </c>
      <c r="G139" s="66"/>
      <c r="H139" s="114">
        <v>11900.6</v>
      </c>
      <c r="I139" s="115">
        <f>H141</f>
        <v>19004.269999999997</v>
      </c>
      <c r="J139" s="115">
        <f>+I141</f>
        <v>18735.182000000001</v>
      </c>
      <c r="K139" s="115">
        <f>+J141</f>
        <v>15599.986999999999</v>
      </c>
      <c r="L139" s="115">
        <f>K141</f>
        <v>16578.335000000003</v>
      </c>
      <c r="M139" s="115">
        <f>L141</f>
        <v>17388.862058951243</v>
      </c>
      <c r="N139" s="115">
        <f>M141</f>
        <v>19811.483565165006</v>
      </c>
      <c r="O139" s="115">
        <f>N141</f>
        <v>22656.039532426053</v>
      </c>
      <c r="P139" s="115">
        <f>O141</f>
        <v>25953.176156522895</v>
      </c>
      <c r="Q139" s="272"/>
    </row>
    <row r="140" spans="2:17">
      <c r="B140" s="4"/>
      <c r="C140" t="s">
        <v>92</v>
      </c>
      <c r="G140" s="66"/>
      <c r="H140" s="115">
        <f t="shared" ref="H140:P140" si="29">(H141-H138)-H139</f>
        <v>-436.27500000001419</v>
      </c>
      <c r="I140" s="115">
        <f t="shared" si="29"/>
        <v>-280.21899999998641</v>
      </c>
      <c r="J140" s="115">
        <f t="shared" si="29"/>
        <v>-2272.3459999999977</v>
      </c>
      <c r="K140" s="115">
        <f t="shared" si="29"/>
        <v>-605.61599999999817</v>
      </c>
      <c r="L140" s="115">
        <f t="shared" si="29"/>
        <v>0</v>
      </c>
      <c r="M140" s="115">
        <f t="shared" si="29"/>
        <v>0</v>
      </c>
      <c r="N140" s="115">
        <f t="shared" si="29"/>
        <v>0</v>
      </c>
      <c r="O140" s="115">
        <f t="shared" si="29"/>
        <v>0</v>
      </c>
      <c r="P140" s="115">
        <f t="shared" si="29"/>
        <v>0</v>
      </c>
      <c r="Q140" s="272"/>
    </row>
    <row r="141" spans="2:17">
      <c r="B141" s="47"/>
      <c r="C141" s="32" t="s">
        <v>104</v>
      </c>
      <c r="D141" s="7"/>
      <c r="E141" s="7"/>
      <c r="F141" s="113"/>
      <c r="G141" s="67"/>
      <c r="H141" s="67">
        <f>H87</f>
        <v>19004.269999999997</v>
      </c>
      <c r="I141" s="67">
        <f>I87</f>
        <v>18735.182000000001</v>
      </c>
      <c r="J141" s="67">
        <f>J87</f>
        <v>15599.986999999999</v>
      </c>
      <c r="K141" s="67">
        <f>K87</f>
        <v>16578.335000000003</v>
      </c>
      <c r="L141" s="67">
        <f>SUBTOTAL(9,L$122:L139)</f>
        <v>17388.862058951243</v>
      </c>
      <c r="M141" s="67">
        <f>SUBTOTAL(9,M$122:M139)</f>
        <v>19811.483565165006</v>
      </c>
      <c r="N141" s="67">
        <f>SUBTOTAL(9,N$122:N139)</f>
        <v>22656.039532426053</v>
      </c>
      <c r="O141" s="67">
        <f>SUBTOTAL(9,O$122:O139)</f>
        <v>25953.176156522895</v>
      </c>
      <c r="P141" s="67">
        <f>SUBTOTAL(9,P$122:P139)</f>
        <v>29049.09920864283</v>
      </c>
      <c r="Q141" s="274"/>
    </row>
    <row r="144" spans="2:17">
      <c r="O144" s="30"/>
      <c r="Q144" s="30" t="str">
        <f>$Q$4</f>
        <v>MODELO ATUAL: CENÁRIO BASE</v>
      </c>
    </row>
    <row r="145" spans="2:17" ht="22.8">
      <c r="B145" s="1" t="str">
        <f>TITLE</f>
        <v>AMBEV</v>
      </c>
      <c r="C145" s="2"/>
      <c r="D145" s="2"/>
      <c r="E145" s="2"/>
      <c r="F145" s="16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2:17" ht="17.399999999999999">
      <c r="B146" s="17" t="s">
        <v>76</v>
      </c>
      <c r="C146" s="18"/>
      <c r="D146" s="18"/>
      <c r="E146" s="18"/>
      <c r="F146" s="19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</row>
    <row r="147" spans="2:17" ht="3" customHeight="1" thickBot="1">
      <c r="B147" s="52"/>
      <c r="C147" s="53"/>
      <c r="D147" s="53"/>
      <c r="E147" s="53"/>
      <c r="F147" s="54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</row>
    <row r="148" spans="2:17" ht="17.399999999999999">
      <c r="B148" s="34" t="str">
        <f>$B$8</f>
        <v>(R$ Milhões)</v>
      </c>
      <c r="C148" s="18"/>
      <c r="D148" s="18"/>
      <c r="E148" s="18"/>
      <c r="F148" s="19"/>
      <c r="G148" s="18"/>
      <c r="H148" s="18"/>
      <c r="I148" s="18"/>
      <c r="J148" s="18"/>
      <c r="K148" s="18"/>
      <c r="L148" s="18"/>
      <c r="M148" s="18"/>
      <c r="N148" s="18"/>
      <c r="O148" s="18"/>
      <c r="P148" s="18"/>
    </row>
    <row r="149" spans="2:17">
      <c r="F149" s="20"/>
      <c r="G149" s="21"/>
      <c r="H149" s="21"/>
      <c r="L149" s="22" t="s">
        <v>23</v>
      </c>
      <c r="M149" s="10"/>
      <c r="N149" s="10"/>
      <c r="O149" s="10"/>
      <c r="P149" s="10"/>
    </row>
    <row r="150" spans="2:17">
      <c r="F150" s="20"/>
      <c r="G150" s="11"/>
      <c r="H150" s="51">
        <f>I150-1</f>
        <v>2020</v>
      </c>
      <c r="I150" s="51">
        <f>J150-1</f>
        <v>2021</v>
      </c>
      <c r="J150" s="51">
        <f>K150-1</f>
        <v>2022</v>
      </c>
      <c r="K150" s="51">
        <f>L150-1</f>
        <v>2023</v>
      </c>
      <c r="L150" s="28">
        <f>$L$19</f>
        <v>2024</v>
      </c>
      <c r="M150" s="28">
        <f>L150+1</f>
        <v>2025</v>
      </c>
      <c r="N150" s="28">
        <f>M150+1</f>
        <v>2026</v>
      </c>
      <c r="O150" s="28">
        <f>N150+1</f>
        <v>2027</v>
      </c>
      <c r="P150" s="28">
        <f>O150+1</f>
        <v>2028</v>
      </c>
    </row>
    <row r="151" spans="2:17">
      <c r="B151" s="28" t="s">
        <v>75</v>
      </c>
    </row>
    <row r="152" spans="2:17">
      <c r="B152" s="126" t="s">
        <v>68</v>
      </c>
      <c r="C152" s="12" t="s">
        <v>54</v>
      </c>
      <c r="G152" s="44"/>
      <c r="H152" s="44">
        <f t="shared" ref="H152:P152" si="30">H88</f>
        <v>4303.1379999999999</v>
      </c>
      <c r="I152" s="44">
        <f t="shared" si="30"/>
        <v>4791.634</v>
      </c>
      <c r="J152" s="44">
        <f t="shared" si="30"/>
        <v>5349.1049999999996</v>
      </c>
      <c r="K152" s="44">
        <f t="shared" si="30"/>
        <v>5741.4570000000003</v>
      </c>
      <c r="L152" s="44">
        <f t="shared" si="30"/>
        <v>5989.9192048278701</v>
      </c>
      <c r="M152" s="44">
        <f t="shared" si="30"/>
        <v>6469.1127412141004</v>
      </c>
      <c r="N152" s="44">
        <f t="shared" si="30"/>
        <v>6986.6417605112283</v>
      </c>
      <c r="O152" s="44">
        <f t="shared" si="30"/>
        <v>7545.5731013521272</v>
      </c>
      <c r="P152" s="44">
        <f t="shared" si="30"/>
        <v>7847.3960254062131</v>
      </c>
    </row>
    <row r="153" spans="2:17">
      <c r="B153" s="126" t="s">
        <v>68</v>
      </c>
      <c r="C153" s="12" t="s">
        <v>64</v>
      </c>
      <c r="G153" s="44"/>
      <c r="H153" s="44">
        <f t="shared" ref="H153:P153" si="31">H89</f>
        <v>7605.9049999999997</v>
      </c>
      <c r="I153" s="44">
        <f t="shared" si="31"/>
        <v>11000.346</v>
      </c>
      <c r="J153" s="44">
        <f t="shared" si="31"/>
        <v>12923.025</v>
      </c>
      <c r="K153" s="44">
        <f t="shared" si="31"/>
        <v>9619.0220000000008</v>
      </c>
      <c r="L153" s="44">
        <f t="shared" si="31"/>
        <v>11687.035346535284</v>
      </c>
      <c r="M153" s="44">
        <f t="shared" si="31"/>
        <v>12621.998174258108</v>
      </c>
      <c r="N153" s="44">
        <f t="shared" si="31"/>
        <v>13631.758028198758</v>
      </c>
      <c r="O153" s="44">
        <f t="shared" si="31"/>
        <v>14722.298670454658</v>
      </c>
      <c r="P153" s="44">
        <f t="shared" si="31"/>
        <v>15311.190617272845</v>
      </c>
    </row>
    <row r="154" spans="2:17">
      <c r="B154" s="126" t="s">
        <v>5</v>
      </c>
      <c r="C154" s="12" t="s">
        <v>59</v>
      </c>
      <c r="G154" s="48"/>
      <c r="H154" s="124">
        <f t="shared" ref="H154:P154" si="32">-H96</f>
        <v>-20920.626</v>
      </c>
      <c r="I154" s="124">
        <f t="shared" si="32"/>
        <v>-28134.415000000001</v>
      </c>
      <c r="J154" s="124">
        <f t="shared" si="32"/>
        <v>-27173.781999999999</v>
      </c>
      <c r="K154" s="124">
        <f t="shared" si="32"/>
        <v>-25630.947999999997</v>
      </c>
      <c r="L154" s="124">
        <f t="shared" si="32"/>
        <v>-27453.098354343278</v>
      </c>
      <c r="M154" s="124">
        <f t="shared" si="32"/>
        <v>-29649.34622269074</v>
      </c>
      <c r="N154" s="124">
        <f t="shared" si="32"/>
        <v>-32021.293920506003</v>
      </c>
      <c r="O154" s="124">
        <f t="shared" si="32"/>
        <v>-34582.997434146484</v>
      </c>
      <c r="P154" s="124">
        <f t="shared" si="32"/>
        <v>-35966.317331512342</v>
      </c>
    </row>
    <row r="155" spans="2:17">
      <c r="C155" s="23" t="s">
        <v>65</v>
      </c>
      <c r="G155" s="66"/>
      <c r="H155" s="74">
        <f>SUBTOTAL(9,H152:H154)</f>
        <v>-9011.5830000000005</v>
      </c>
      <c r="I155" s="74">
        <f t="shared" ref="I155:P155" si="33">SUBTOTAL(9,I152:I154)</f>
        <v>-12342.435000000001</v>
      </c>
      <c r="J155" s="74">
        <f t="shared" si="33"/>
        <v>-8901.6520000000019</v>
      </c>
      <c r="K155" s="74">
        <f t="shared" si="33"/>
        <v>-10270.468999999996</v>
      </c>
      <c r="L155" s="74">
        <f t="shared" si="33"/>
        <v>-9776.1438029801247</v>
      </c>
      <c r="M155" s="74">
        <f t="shared" si="33"/>
        <v>-10558.235307218532</v>
      </c>
      <c r="N155" s="74">
        <f t="shared" si="33"/>
        <v>-11402.894131796016</v>
      </c>
      <c r="O155" s="74">
        <f t="shared" si="33"/>
        <v>-12315.125662339698</v>
      </c>
      <c r="P155" s="74">
        <f t="shared" si="33"/>
        <v>-12807.730688833282</v>
      </c>
    </row>
    <row r="156" spans="2:17">
      <c r="D156" s="6" t="s">
        <v>66</v>
      </c>
      <c r="G156" s="115"/>
      <c r="H156" s="125"/>
      <c r="I156" s="125">
        <f>H155-I155</f>
        <v>3330.8520000000008</v>
      </c>
      <c r="J156" s="125">
        <f t="shared" ref="J156:P156" si="34">I155-J155</f>
        <v>-3440.7829999999994</v>
      </c>
      <c r="K156" s="125">
        <f t="shared" si="34"/>
        <v>1368.8169999999936</v>
      </c>
      <c r="L156" s="125">
        <f t="shared" si="34"/>
        <v>-494.32519701987076</v>
      </c>
      <c r="M156" s="125">
        <f t="shared" si="34"/>
        <v>782.09150423840765</v>
      </c>
      <c r="N156" s="125">
        <f t="shared" si="34"/>
        <v>844.65882457748376</v>
      </c>
      <c r="O156" s="125">
        <f t="shared" si="34"/>
        <v>912.23153054368231</v>
      </c>
      <c r="P156" s="125">
        <f t="shared" si="34"/>
        <v>492.60502649358386</v>
      </c>
    </row>
    <row r="157" spans="2:17">
      <c r="B157" s="6"/>
      <c r="G157" s="45"/>
      <c r="H157" s="45"/>
      <c r="I157" s="71"/>
      <c r="J157" s="71"/>
      <c r="K157" s="71"/>
      <c r="L157" s="71"/>
      <c r="M157" s="71"/>
      <c r="N157" s="71"/>
      <c r="O157" s="71"/>
      <c r="P157" s="71"/>
    </row>
    <row r="158" spans="2:17">
      <c r="B158" s="28" t="s">
        <v>10</v>
      </c>
      <c r="G158" s="45"/>
      <c r="H158" s="45"/>
      <c r="I158" s="46"/>
      <c r="J158" s="46"/>
      <c r="K158" s="46"/>
      <c r="L158" s="44"/>
      <c r="M158" s="44"/>
      <c r="N158" s="44"/>
      <c r="O158" s="44"/>
      <c r="P158" s="44"/>
    </row>
    <row r="159" spans="2:17">
      <c r="C159" s="12" t="s">
        <v>71</v>
      </c>
      <c r="G159" s="44"/>
      <c r="H159" s="44"/>
      <c r="I159" s="44">
        <f>H162</f>
        <v>32348.911</v>
      </c>
      <c r="J159" s="44">
        <f t="shared" ref="J159:P159" si="35">I162</f>
        <v>37913.275999999998</v>
      </c>
      <c r="K159" s="44">
        <f t="shared" si="35"/>
        <v>39277.938999999998</v>
      </c>
      <c r="L159" s="44">
        <f t="shared" si="35"/>
        <v>36671.888999999996</v>
      </c>
      <c r="M159" s="44">
        <f t="shared" si="35"/>
        <v>37531.836769926966</v>
      </c>
      <c r="N159" s="44">
        <f t="shared" si="35"/>
        <v>38411.950126824442</v>
      </c>
      <c r="O159" s="44">
        <f t="shared" si="35"/>
        <v>39312.70194929283</v>
      </c>
      <c r="P159" s="44">
        <f t="shared" si="35"/>
        <v>40234.576204832221</v>
      </c>
    </row>
    <row r="160" spans="2:17">
      <c r="B160" s="126" t="s">
        <v>68</v>
      </c>
      <c r="C160" s="12" t="s">
        <v>69</v>
      </c>
      <c r="G160" s="44"/>
      <c r="H160" s="44">
        <f>-H128</f>
        <v>5124.2019999999993</v>
      </c>
      <c r="I160" s="44">
        <f t="shared" ref="I160:P160" si="36">-I128</f>
        <v>7810.8980000000001</v>
      </c>
      <c r="J160" s="44">
        <f t="shared" si="36"/>
        <v>6536.027</v>
      </c>
      <c r="K160" s="44">
        <f t="shared" si="36"/>
        <v>6050.6280000000006</v>
      </c>
      <c r="L160" s="44">
        <f t="shared" si="36"/>
        <v>6592.9329027734411</v>
      </c>
      <c r="M160" s="44">
        <f t="shared" si="36"/>
        <v>6747.535736214013</v>
      </c>
      <c r="N160" s="44">
        <f t="shared" si="36"/>
        <v>6905.7639722576969</v>
      </c>
      <c r="O160" s="44">
        <f t="shared" si="36"/>
        <v>7067.7026258019678</v>
      </c>
      <c r="P160" s="44">
        <f t="shared" si="36"/>
        <v>7233.4387053250439</v>
      </c>
    </row>
    <row r="161" spans="2:16">
      <c r="B161" s="126" t="s">
        <v>5</v>
      </c>
      <c r="C161" s="12" t="s">
        <v>10</v>
      </c>
      <c r="G161" s="48"/>
      <c r="H161" s="124">
        <f>H57</f>
        <v>-5167.3500000000004</v>
      </c>
      <c r="I161" s="124">
        <f>I57</f>
        <v>-5396.6869999999999</v>
      </c>
      <c r="J161" s="124">
        <f>J57</f>
        <v>-5956.25</v>
      </c>
      <c r="K161" s="124">
        <f>K57</f>
        <v>-6417.9120000000003</v>
      </c>
      <c r="L161" s="124">
        <f>L159*-L25</f>
        <v>-5732.9851328464711</v>
      </c>
      <c r="M161" s="124">
        <f>M159*-M25</f>
        <v>-5867.4223793165338</v>
      </c>
      <c r="N161" s="124">
        <f>N159*-N25</f>
        <v>-6005.0121497893024</v>
      </c>
      <c r="O161" s="124">
        <f>O159*-O25</f>
        <v>-6145.8283702625813</v>
      </c>
      <c r="P161" s="124">
        <f>P159*-P25</f>
        <v>-6289.9467002826477</v>
      </c>
    </row>
    <row r="162" spans="2:16">
      <c r="C162" s="23" t="s">
        <v>67</v>
      </c>
      <c r="G162" s="66"/>
      <c r="H162" s="74">
        <f>H90</f>
        <v>32348.911</v>
      </c>
      <c r="I162" s="74">
        <f>I90</f>
        <v>37913.275999999998</v>
      </c>
      <c r="J162" s="74">
        <f>J90</f>
        <v>39277.938999999998</v>
      </c>
      <c r="K162" s="74">
        <f>K90</f>
        <v>36671.888999999996</v>
      </c>
      <c r="L162" s="74">
        <f>SUBTOTAL(9,L159:L161)</f>
        <v>37531.836769926966</v>
      </c>
      <c r="M162" s="74">
        <f>SUBTOTAL(9,M159:M161)</f>
        <v>38411.950126824442</v>
      </c>
      <c r="N162" s="74">
        <f>SUBTOTAL(9,N159:N161)</f>
        <v>39312.70194929283</v>
      </c>
      <c r="O162" s="74">
        <f>SUBTOTAL(9,O159:O161)</f>
        <v>40234.576204832221</v>
      </c>
      <c r="P162" s="74">
        <f>SUBTOTAL(9,P159:P161)</f>
        <v>41178.068209874618</v>
      </c>
    </row>
    <row r="163" spans="2:16">
      <c r="B163" s="26"/>
      <c r="G163" s="66"/>
      <c r="H163" s="66"/>
      <c r="I163" s="77"/>
      <c r="J163" s="77"/>
      <c r="L163" s="72"/>
      <c r="M163" s="72"/>
      <c r="N163" s="72"/>
      <c r="O163" s="72"/>
      <c r="P163" s="72"/>
    </row>
    <row r="164" spans="2:16">
      <c r="B164" s="26" t="s">
        <v>70</v>
      </c>
      <c r="G164" s="66"/>
      <c r="H164" s="66"/>
      <c r="I164" s="74"/>
      <c r="J164" s="74"/>
      <c r="K164" s="74"/>
      <c r="L164" s="73"/>
      <c r="M164" s="73"/>
      <c r="N164" s="73"/>
      <c r="O164" s="73"/>
      <c r="P164" s="73"/>
    </row>
    <row r="165" spans="2:16">
      <c r="C165" s="12" t="s">
        <v>72</v>
      </c>
      <c r="G165" s="44"/>
      <c r="H165" s="44"/>
      <c r="I165" s="44">
        <f>H167</f>
        <v>4792.2280000000001</v>
      </c>
      <c r="J165" s="44">
        <f t="shared" ref="J165:P165" si="37">I167</f>
        <v>3100.5239999999999</v>
      </c>
      <c r="K165" s="44">
        <f t="shared" si="37"/>
        <v>3845.049</v>
      </c>
      <c r="L165" s="44">
        <f t="shared" si="37"/>
        <v>3501.0659999999998</v>
      </c>
      <c r="M165" s="44">
        <f t="shared" si="37"/>
        <v>3101.0659999999998</v>
      </c>
      <c r="N165" s="44">
        <f t="shared" si="37"/>
        <v>2701.0659999999998</v>
      </c>
      <c r="O165" s="44">
        <f t="shared" si="37"/>
        <v>2301.0659999999998</v>
      </c>
      <c r="P165" s="44">
        <f t="shared" si="37"/>
        <v>1901.0659999999998</v>
      </c>
    </row>
    <row r="166" spans="2:16">
      <c r="B166" s="126"/>
      <c r="C166" t="s">
        <v>29</v>
      </c>
      <c r="G166" s="44"/>
      <c r="H166" s="75">
        <f>H132</f>
        <v>1724.9839999999999</v>
      </c>
      <c r="I166" s="75">
        <f>I132</f>
        <v>-2537.2829999999999</v>
      </c>
      <c r="J166" s="75">
        <f>J132</f>
        <v>-194.04800000000023</v>
      </c>
      <c r="K166" s="75">
        <f>K132</f>
        <v>-1406.623</v>
      </c>
      <c r="L166" s="127">
        <f>L36</f>
        <v>-400</v>
      </c>
      <c r="M166" s="127">
        <f>M36</f>
        <v>-400</v>
      </c>
      <c r="N166" s="127">
        <f>N36</f>
        <v>-400</v>
      </c>
      <c r="O166" s="127">
        <f>O36</f>
        <v>-400</v>
      </c>
      <c r="P166" s="127">
        <f>P36</f>
        <v>-400</v>
      </c>
    </row>
    <row r="167" spans="2:16">
      <c r="C167" s="23" t="s">
        <v>73</v>
      </c>
      <c r="G167" s="66"/>
      <c r="H167" s="74">
        <f>H97</f>
        <v>4792.2280000000001</v>
      </c>
      <c r="I167" s="74">
        <f>I97</f>
        <v>3100.5239999999999</v>
      </c>
      <c r="J167" s="74">
        <f>J97</f>
        <v>3845.049</v>
      </c>
      <c r="K167" s="74">
        <f>K97</f>
        <v>3501.0659999999998</v>
      </c>
      <c r="L167" s="74">
        <f>SUBTOTAL(9,L165:L166)</f>
        <v>3101.0659999999998</v>
      </c>
      <c r="M167" s="74">
        <f>SUBTOTAL(9,M165:M166)</f>
        <v>2701.0659999999998</v>
      </c>
      <c r="N167" s="74">
        <f>SUBTOTAL(9,N165:N166)</f>
        <v>2301.0659999999998</v>
      </c>
      <c r="O167" s="74">
        <f>SUBTOTAL(9,O165:O166)</f>
        <v>1901.0659999999998</v>
      </c>
      <c r="P167" s="74">
        <f>SUBTOTAL(9,P165:P166)</f>
        <v>1501.0659999999998</v>
      </c>
    </row>
    <row r="168" spans="2:16">
      <c r="D168" t="s">
        <v>18</v>
      </c>
      <c r="H168" s="31">
        <f>H60</f>
        <v>-2434.4490000000001</v>
      </c>
      <c r="I168" s="31">
        <f>I60</f>
        <v>-3205.3649999999998</v>
      </c>
      <c r="J168" s="31">
        <f>J60</f>
        <v>-3423.17</v>
      </c>
      <c r="K168" s="31">
        <f>K60</f>
        <v>-3609.752</v>
      </c>
      <c r="L168" s="31">
        <f>L165*-L26</f>
        <v>-3676.1192999999998</v>
      </c>
      <c r="M168" s="31">
        <f>M165*-M26</f>
        <v>-3256.1192999999998</v>
      </c>
      <c r="N168" s="31">
        <f>N165*-N26</f>
        <v>-2836.1192999999998</v>
      </c>
      <c r="O168" s="31">
        <f>O165*-O26</f>
        <v>-2416.1192999999998</v>
      </c>
      <c r="P168" s="31">
        <f>P165*-P26</f>
        <v>-1996.1192999999998</v>
      </c>
    </row>
  </sheetData>
  <conditionalFormatting sqref="H2:P2">
    <cfRule type="containsText" dxfId="5" priority="1" operator="containsText" text="ERROR">
      <formula>NOT(ISERROR(SEARCH("ERROR",H2)))</formula>
    </cfRule>
    <cfRule type="cellIs" dxfId="4" priority="2" operator="equal">
      <formula>"OK"</formula>
    </cfRule>
  </conditionalFormatting>
  <dataValidations count="1">
    <dataValidation type="list" allowBlank="1" showInputMessage="1" showErrorMessage="1" sqref="R10" xr:uid="{0E417B68-88A1-4B88-A7B5-EA85E2ABCEE1}">
      <formula1>"1,2,3,4"</formula1>
    </dataValidation>
  </dataValidations>
  <printOptions horizontalCentered="1"/>
  <pageMargins left="0.11811023622047245" right="0.11811023622047245" top="0.39370078740157483" bottom="0.39370078740157483" header="0.11811023622047245" footer="0.11811023622047245"/>
  <pageSetup paperSize="9" scale="95" orientation="landscape" r:id="rId1"/>
  <headerFooter>
    <oddFooter xml:space="preserve">&amp;L&amp;A&amp;CPágina &amp;P de &amp;N &amp;R&amp;D </oddFooter>
  </headerFooter>
  <ignoredErrors>
    <ignoredError sqref="H161 H125:H127 H123 I125:M127 I122:L122 I129:M131 I161:P161 H122 I123:M123 H129:H131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07DD-8D48-4237-86FC-262BD78CDA79}">
  <sheetPr codeName="Sheet4"/>
  <dimension ref="A1:Q81"/>
  <sheetViews>
    <sheetView showGridLines="0" tabSelected="1" zoomScale="112" zoomScaleNormal="145"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3.2" outlineLevelRow="1"/>
  <cols>
    <col min="1" max="1" width="3.5546875" customWidth="1"/>
    <col min="2" max="3" width="1.6640625" customWidth="1"/>
    <col min="4" max="4" width="11.44140625" customWidth="1"/>
    <col min="5" max="5" width="16.6640625" customWidth="1"/>
    <col min="6" max="6" width="9.88671875" bestFit="1" customWidth="1"/>
    <col min="7" max="7" width="12" bestFit="1" customWidth="1"/>
    <col min="8" max="8" width="11" hidden="1" customWidth="1"/>
    <col min="9" max="10" width="10.6640625" hidden="1" customWidth="1"/>
    <col min="11" max="11" width="11.44140625" bestFit="1" customWidth="1"/>
    <col min="12" max="16" width="11.109375" bestFit="1" customWidth="1"/>
    <col min="17" max="17" width="13" bestFit="1" customWidth="1"/>
    <col min="18" max="18" width="1.77734375" customWidth="1"/>
    <col min="21" max="21" width="10.77734375" bestFit="1" customWidth="1"/>
    <col min="22" max="22" width="13.44140625" bestFit="1" customWidth="1"/>
    <col min="23" max="23" width="7.5546875" bestFit="1" customWidth="1"/>
    <col min="26" max="31" width="11.109375" bestFit="1" customWidth="1"/>
    <col min="32" max="33" width="10.77734375" bestFit="1" customWidth="1"/>
  </cols>
  <sheetData>
    <row r="1" spans="1:16">
      <c r="A1" s="187"/>
      <c r="B1" s="181"/>
      <c r="C1" s="181"/>
      <c r="D1" s="182">
        <f>G10</f>
        <v>45607</v>
      </c>
      <c r="E1" s="181"/>
      <c r="F1" s="181">
        <f>G12</f>
        <v>12.58</v>
      </c>
      <c r="G1" s="183">
        <f>F67</f>
        <v>13.099227216317967</v>
      </c>
      <c r="H1" s="181"/>
      <c r="I1" s="181"/>
      <c r="J1" s="181"/>
      <c r="K1" s="184">
        <f>F68</f>
        <v>4.1274023554687345E-2</v>
      </c>
      <c r="L1" s="185">
        <f>L38</f>
        <v>2024</v>
      </c>
      <c r="M1" s="185">
        <f>L1+1</f>
        <v>2025</v>
      </c>
      <c r="N1" s="185">
        <f>M1+1</f>
        <v>2026</v>
      </c>
      <c r="O1" s="185">
        <f>N1+1</f>
        <v>2027</v>
      </c>
      <c r="P1" s="185">
        <f>O1+1</f>
        <v>2028</v>
      </c>
    </row>
    <row r="2" spans="1:16">
      <c r="P2" s="30"/>
    </row>
    <row r="4" spans="1:16" ht="22.8">
      <c r="B4" s="1" t="str">
        <f>TITLE</f>
        <v>AMBEV</v>
      </c>
      <c r="C4" s="2"/>
      <c r="D4" s="2"/>
      <c r="E4" s="2"/>
      <c r="F4" s="16"/>
      <c r="G4" s="2"/>
      <c r="H4" s="2"/>
      <c r="I4" s="2"/>
      <c r="J4" s="2"/>
      <c r="K4" s="2"/>
      <c r="L4" s="2"/>
      <c r="M4" s="2"/>
      <c r="N4" s="2"/>
      <c r="O4" s="2"/>
    </row>
    <row r="5" spans="1:16" ht="17.399999999999999">
      <c r="B5" s="17" t="s">
        <v>169</v>
      </c>
      <c r="C5" s="18"/>
      <c r="D5" s="18"/>
      <c r="E5" s="18"/>
      <c r="F5" s="19"/>
      <c r="G5" s="18"/>
      <c r="H5" s="18"/>
      <c r="I5" s="18"/>
      <c r="J5" s="18"/>
      <c r="K5" s="18"/>
      <c r="L5" s="18"/>
      <c r="M5" s="18"/>
      <c r="N5" s="18"/>
      <c r="O5" s="18"/>
      <c r="P5" s="2"/>
    </row>
    <row r="6" spans="1:16" ht="3" customHeight="1" thickBot="1">
      <c r="B6" s="52"/>
      <c r="C6" s="53"/>
      <c r="D6" s="53"/>
      <c r="E6" s="53"/>
      <c r="F6" s="54"/>
      <c r="G6" s="53"/>
      <c r="H6" s="53"/>
      <c r="I6" s="53"/>
      <c r="J6" s="53"/>
      <c r="K6" s="53"/>
      <c r="L6" s="53"/>
      <c r="M6" s="53"/>
      <c r="N6" s="53"/>
      <c r="O6" s="53"/>
      <c r="P6" s="53"/>
    </row>
    <row r="7" spans="1:16">
      <c r="F7" s="20"/>
      <c r="G7" s="11"/>
      <c r="H7" s="11"/>
      <c r="I7" s="11"/>
      <c r="L7" s="11"/>
    </row>
    <row r="8" spans="1:16">
      <c r="A8">
        <v>2</v>
      </c>
      <c r="B8" s="28" t="s">
        <v>105</v>
      </c>
      <c r="L8" s="28" t="str">
        <f xml:space="preserve"> "Resultados do " &amp; A8 &amp; "º Trimestre de " &amp;YEAR(G10)</f>
        <v>Resultados do 2º Trimestre de 2024</v>
      </c>
    </row>
    <row r="9" spans="1:16">
      <c r="B9" s="28"/>
      <c r="L9" s="28"/>
    </row>
    <row r="10" spans="1:16">
      <c r="A10" s="137">
        <f>G10</f>
        <v>45607</v>
      </c>
      <c r="C10" s="141" t="s">
        <v>99</v>
      </c>
      <c r="G10" s="201">
        <f>MODELO!H12</f>
        <v>45607</v>
      </c>
      <c r="L10" s="158" t="s">
        <v>116</v>
      </c>
      <c r="M10" s="12"/>
      <c r="P10" s="203">
        <f>MODELO!P12</f>
        <v>3380.2999999999997</v>
      </c>
    </row>
    <row r="11" spans="1:16">
      <c r="C11" s="141" t="s">
        <v>101</v>
      </c>
      <c r="G11" s="208">
        <f>MODELO!H13</f>
        <v>15757.656999999999</v>
      </c>
      <c r="L11" s="158" t="s">
        <v>117</v>
      </c>
      <c r="M11" s="12"/>
      <c r="P11" s="203">
        <f>MODELO!P13</f>
        <v>743.7</v>
      </c>
    </row>
    <row r="12" spans="1:16">
      <c r="C12" s="141" t="s">
        <v>100</v>
      </c>
      <c r="G12" s="270">
        <f>MODELO!H14</f>
        <v>12.58</v>
      </c>
      <c r="L12" s="158" t="s">
        <v>118</v>
      </c>
      <c r="M12" s="12"/>
      <c r="P12" s="202">
        <f>MODELO!P14</f>
        <v>21187.100000000002</v>
      </c>
    </row>
    <row r="13" spans="1:16">
      <c r="C13" s="28" t="s">
        <v>115</v>
      </c>
      <c r="G13" s="138">
        <f>G11*G12</f>
        <v>198231.32506</v>
      </c>
      <c r="L13" s="142" t="s">
        <v>114</v>
      </c>
      <c r="P13" s="138">
        <f>SUM(G13,P10:P11)-P12</f>
        <v>181168.22506</v>
      </c>
    </row>
    <row r="14" spans="1:16">
      <c r="B14" s="7"/>
      <c r="C14" s="7"/>
      <c r="D14" s="7"/>
      <c r="E14" s="7"/>
      <c r="F14" s="7"/>
      <c r="G14" s="7"/>
      <c r="K14" s="7"/>
      <c r="L14" s="7"/>
      <c r="M14" s="7"/>
      <c r="N14" s="7"/>
      <c r="O14" s="7"/>
      <c r="P14" s="7"/>
    </row>
    <row r="16" spans="1:16">
      <c r="B16" s="28" t="s">
        <v>134</v>
      </c>
      <c r="L16" s="28" t="s">
        <v>132</v>
      </c>
    </row>
    <row r="18" spans="2:16">
      <c r="B18" s="142" t="s">
        <v>106</v>
      </c>
      <c r="C18" s="7"/>
      <c r="D18" s="7"/>
      <c r="E18" s="7"/>
      <c r="F18" s="67">
        <f>F19+F20</f>
        <v>201611.62505999999</v>
      </c>
      <c r="G18" s="159">
        <f>G19+G20</f>
        <v>1</v>
      </c>
      <c r="I18" s="7"/>
      <c r="L18" s="28" t="s">
        <v>98</v>
      </c>
    </row>
    <row r="19" spans="2:16">
      <c r="B19" s="157" t="s">
        <v>97</v>
      </c>
      <c r="C19" s="157"/>
      <c r="F19" s="115">
        <f>G13</f>
        <v>198231.32506</v>
      </c>
      <c r="G19" s="140">
        <f>F19/$F$18</f>
        <v>0.9832336057060499</v>
      </c>
      <c r="L19" s="157" t="str">
        <f>"EBITDA projetado para " &amp;P1</f>
        <v>EBITDA projetado para 2028</v>
      </c>
      <c r="P19" s="144">
        <f>MODELO!P55</f>
        <v>32457.624156494883</v>
      </c>
    </row>
    <row r="20" spans="2:16">
      <c r="B20" s="157" t="s">
        <v>96</v>
      </c>
      <c r="C20" s="157"/>
      <c r="F20" s="115">
        <f>P10</f>
        <v>3380.2999999999997</v>
      </c>
      <c r="G20" s="145">
        <f>F20/$F$18</f>
        <v>1.6766394293950142E-2</v>
      </c>
      <c r="L20" s="157" t="s">
        <v>119</v>
      </c>
      <c r="P20" s="154">
        <v>10</v>
      </c>
    </row>
    <row r="21" spans="2:16">
      <c r="I21" s="139"/>
      <c r="L21" s="142" t="s">
        <v>130</v>
      </c>
      <c r="P21" s="138">
        <f>P20*P19</f>
        <v>324576.24156494881</v>
      </c>
    </row>
    <row r="22" spans="2:16">
      <c r="B22" s="142" t="s">
        <v>107</v>
      </c>
      <c r="C22" s="7"/>
      <c r="D22" s="7"/>
      <c r="E22" s="7"/>
      <c r="F22" s="153"/>
      <c r="G22" s="153">
        <f>G23+G24</f>
        <v>0.1479</v>
      </c>
      <c r="I22" s="139"/>
      <c r="L22" s="28"/>
      <c r="M22" s="28"/>
      <c r="P22" s="138"/>
    </row>
    <row r="23" spans="2:16">
      <c r="B23" s="157" t="s">
        <v>301</v>
      </c>
      <c r="F23" s="381" t="str">
        <f>"DI1F"&amp;RIGHT(L1,2)+10</f>
        <v>DI1F34</v>
      </c>
      <c r="G23" s="139">
        <v>0.12790000000000001</v>
      </c>
      <c r="L23" s="28" t="s">
        <v>133</v>
      </c>
    </row>
    <row r="24" spans="2:16">
      <c r="B24" s="157" t="s">
        <v>108</v>
      </c>
      <c r="F24" s="160"/>
      <c r="G24" s="160">
        <v>0.02</v>
      </c>
      <c r="L24" s="157" t="s">
        <v>113</v>
      </c>
      <c r="P24" s="5">
        <f>G29</f>
        <v>0.14704605400582052</v>
      </c>
    </row>
    <row r="25" spans="2:16">
      <c r="B25" s="142" t="s">
        <v>110</v>
      </c>
      <c r="C25" s="7"/>
      <c r="D25" s="7"/>
      <c r="E25" s="7"/>
      <c r="F25" s="153"/>
      <c r="G25" s="153">
        <f>G26*(1-G27)</f>
        <v>9.6967999999999999E-2</v>
      </c>
      <c r="L25" s="157" t="s">
        <v>112</v>
      </c>
      <c r="P25" s="139">
        <v>0.04</v>
      </c>
    </row>
    <row r="26" spans="2:16">
      <c r="B26" s="157" t="s">
        <v>302</v>
      </c>
      <c r="F26" s="381" t="str">
        <f>"DI1F"&amp;RIGHT(P1,2)&amp;" + 1%"</f>
        <v>DI1F28 + 1%</v>
      </c>
      <c r="G26" s="139">
        <v>0.1426</v>
      </c>
      <c r="L26" s="157" t="str">
        <f>"FCFF projetado " &amp;P1</f>
        <v>FCFF projetado 2028</v>
      </c>
      <c r="P26" s="144">
        <f>P52</f>
        <v>18286.625696717907</v>
      </c>
    </row>
    <row r="27" spans="2:16">
      <c r="B27" s="157" t="s">
        <v>109</v>
      </c>
      <c r="F27" s="160"/>
      <c r="G27" s="160">
        <v>0.32</v>
      </c>
      <c r="L27" s="142" t="s">
        <v>130</v>
      </c>
      <c r="P27" s="138">
        <f>P26*(1+P25)/(P24-P25)</f>
        <v>177662.69762314207</v>
      </c>
    </row>
    <row r="28" spans="2:16">
      <c r="M28" s="28"/>
      <c r="P28" s="138"/>
    </row>
    <row r="29" spans="2:16" ht="13.8" thickBot="1">
      <c r="B29" s="156" t="s">
        <v>111</v>
      </c>
      <c r="C29" s="156"/>
      <c r="D29" s="156"/>
      <c r="E29" s="156"/>
      <c r="F29" s="156"/>
      <c r="G29" s="156">
        <f>G19*G22+G20*G25</f>
        <v>0.14704605400582052</v>
      </c>
      <c r="L29" s="155" t="s">
        <v>131</v>
      </c>
      <c r="M29" s="155"/>
      <c r="N29" s="151"/>
      <c r="O29" s="151"/>
      <c r="P29" s="152">
        <f>AVERAGE(P27,P21)</f>
        <v>251119.46959404543</v>
      </c>
    </row>
    <row r="30" spans="2:16" ht="13.8" thickTop="1"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</row>
    <row r="32" spans="2:16">
      <c r="P32" s="30" t="str">
        <f>MODELO!$Q$4</f>
        <v>MODELO ATUAL: CENÁRIO BASE</v>
      </c>
    </row>
    <row r="33" spans="2:16" ht="22.8">
      <c r="B33" s="1" t="str">
        <f>TITLE</f>
        <v>AMBEV</v>
      </c>
      <c r="C33" s="2"/>
      <c r="D33" s="2"/>
      <c r="E33" s="2"/>
      <c r="F33" s="16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2:16" ht="17.399999999999999">
      <c r="B34" s="17" t="s">
        <v>168</v>
      </c>
      <c r="C34" s="18"/>
      <c r="D34" s="18"/>
      <c r="E34" s="18"/>
      <c r="F34" s="19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2:16" ht="3" customHeight="1" thickBot="1">
      <c r="B35" s="52"/>
      <c r="C35" s="53"/>
      <c r="D35" s="53"/>
      <c r="E35" s="53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</row>
    <row r="36" spans="2:16" ht="17.399999999999999">
      <c r="B36" s="34" t="s">
        <v>35</v>
      </c>
      <c r="C36" s="18"/>
      <c r="D36" s="18"/>
      <c r="E36" s="18"/>
      <c r="F36" s="19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2:16">
      <c r="F37" s="20"/>
      <c r="G37" s="21"/>
      <c r="H37" s="21"/>
      <c r="I37" s="21"/>
      <c r="J37" s="21"/>
      <c r="K37" s="21"/>
      <c r="L37" s="22" t="s">
        <v>23</v>
      </c>
      <c r="M37" s="10"/>
      <c r="N37" s="10"/>
      <c r="O37" s="10"/>
      <c r="P37" s="10"/>
    </row>
    <row r="38" spans="2:16">
      <c r="F38" s="20"/>
      <c r="G38" s="11"/>
      <c r="H38" s="11"/>
      <c r="I38" s="11"/>
      <c r="J38" s="11"/>
      <c r="K38" s="51"/>
      <c r="L38" s="28">
        <f>YEAR(model_date)</f>
        <v>2024</v>
      </c>
      <c r="M38" s="28">
        <f>L38+1</f>
        <v>2025</v>
      </c>
      <c r="N38" s="28">
        <f>M38+1</f>
        <v>2026</v>
      </c>
      <c r="O38" s="28">
        <f>N38+1</f>
        <v>2027</v>
      </c>
      <c r="P38" s="28">
        <f>O38+1</f>
        <v>2028</v>
      </c>
    </row>
    <row r="39" spans="2:16">
      <c r="B39" s="28" t="s">
        <v>128</v>
      </c>
      <c r="O39" s="147"/>
    </row>
    <row r="40" spans="2:16">
      <c r="C40" t="s">
        <v>1</v>
      </c>
      <c r="L40" s="31">
        <f>MODELO!L58</f>
        <v>19502.206412911117</v>
      </c>
      <c r="M40" s="31">
        <f>MODELO!M58</f>
        <v>21231.018810101665</v>
      </c>
      <c r="N40" s="31">
        <f>MODELO!N58</f>
        <v>23105.738654782348</v>
      </c>
      <c r="O40" s="31">
        <f>MODELO!O58</f>
        <v>25138.216818674802</v>
      </c>
      <c r="P40" s="31">
        <f>MODELO!P58</f>
        <v>26167.677456212237</v>
      </c>
    </row>
    <row r="41" spans="2:16">
      <c r="C41" t="s">
        <v>121</v>
      </c>
      <c r="L41" s="148">
        <f>-L40*$G$27</f>
        <v>-6240.706052131558</v>
      </c>
      <c r="M41" s="148">
        <f>-M40*$G$27</f>
        <v>-6793.9260192325328</v>
      </c>
      <c r="N41" s="148">
        <f>-N40*$G$27</f>
        <v>-7393.8363695303515</v>
      </c>
      <c r="O41" s="148">
        <f>-O40*$G$27</f>
        <v>-8044.229381975937</v>
      </c>
      <c r="P41" s="148">
        <f>-P40*$G$27</f>
        <v>-8373.656785987916</v>
      </c>
    </row>
    <row r="42" spans="2:16">
      <c r="C42" s="28" t="s">
        <v>122</v>
      </c>
      <c r="L42" s="149">
        <f>SUBTOTAL(9,L$40:L41)</f>
        <v>13261.500360779559</v>
      </c>
      <c r="M42" s="149">
        <f>SUBTOTAL(9,M40:M41)</f>
        <v>14437.092790869132</v>
      </c>
      <c r="N42" s="149">
        <f>SUBTOTAL(9,N40:N41)</f>
        <v>15711.902285251996</v>
      </c>
      <c r="O42" s="149">
        <f>SUBTOTAL(9,O40:O41)</f>
        <v>17093.987436698866</v>
      </c>
      <c r="P42" s="149">
        <f>SUBTOTAL(9,P40:P41)</f>
        <v>17794.020670224323</v>
      </c>
    </row>
    <row r="44" spans="2:16">
      <c r="C44" t="s">
        <v>123</v>
      </c>
      <c r="L44" s="148">
        <f>-MODELO!L161</f>
        <v>5732.9851328464711</v>
      </c>
      <c r="M44" s="148">
        <f>-MODELO!M161</f>
        <v>5867.4223793165338</v>
      </c>
      <c r="N44" s="148">
        <f>-MODELO!N161</f>
        <v>6005.0121497893024</v>
      </c>
      <c r="O44" s="148">
        <f>-MODELO!O161</f>
        <v>6145.8283702625813</v>
      </c>
      <c r="P44" s="148">
        <f>-MODELO!P161</f>
        <v>6289.9467002826477</v>
      </c>
    </row>
    <row r="45" spans="2:16">
      <c r="C45" s="28" t="s">
        <v>124</v>
      </c>
      <c r="L45" s="149">
        <f>SUBTOTAL(9,L$40:L44)</f>
        <v>18994.485493626031</v>
      </c>
      <c r="M45" s="149">
        <f>SUBTOTAL(9,M$40:M44)</f>
        <v>20304.515170185667</v>
      </c>
      <c r="N45" s="149">
        <f>SUBTOTAL(9,N$40:N44)</f>
        <v>21716.914435041297</v>
      </c>
      <c r="O45" s="149">
        <f>SUBTOTAL(9,O$40:O44)</f>
        <v>23239.815806961447</v>
      </c>
      <c r="P45" s="149">
        <f>SUBTOTAL(9,P$40:P44)</f>
        <v>24083.967370506973</v>
      </c>
    </row>
    <row r="47" spans="2:16">
      <c r="C47" t="s">
        <v>125</v>
      </c>
      <c r="L47" s="31">
        <f>MODELO!L128</f>
        <v>-6592.9329027734411</v>
      </c>
      <c r="M47" s="31">
        <f>MODELO!M128</f>
        <v>-6747.535736214013</v>
      </c>
      <c r="N47" s="31">
        <f>MODELO!N128</f>
        <v>-6905.7639722576969</v>
      </c>
      <c r="O47" s="31">
        <f>MODELO!O128</f>
        <v>-7067.7026258019678</v>
      </c>
      <c r="P47" s="382">
        <f>-P44</f>
        <v>-6289.9467002826477</v>
      </c>
    </row>
    <row r="48" spans="2:16">
      <c r="C48" t="s">
        <v>126</v>
      </c>
      <c r="L48" s="148">
        <f>MODELO!L156</f>
        <v>-494.32519701987076</v>
      </c>
      <c r="M48" s="148">
        <f>MODELO!M156</f>
        <v>782.09150423840765</v>
      </c>
      <c r="N48" s="148">
        <f>MODELO!N156</f>
        <v>844.65882457748376</v>
      </c>
      <c r="O48" s="148">
        <f>MODELO!O156</f>
        <v>912.23153054368231</v>
      </c>
      <c r="P48" s="148">
        <f>MODELO!P156</f>
        <v>492.60502649358386</v>
      </c>
    </row>
    <row r="49" spans="2:17" ht="13.8" thickBot="1">
      <c r="C49" s="28" t="s">
        <v>127</v>
      </c>
      <c r="L49" s="150">
        <f>SUBTOTAL(9,L$40:L48)</f>
        <v>11907.227393832718</v>
      </c>
      <c r="M49" s="150">
        <f>SUBTOTAL(9,M$40:M48)</f>
        <v>14339.070938210061</v>
      </c>
      <c r="N49" s="150">
        <f>SUBTOTAL(9,N$40:N48)</f>
        <v>15655.809287361084</v>
      </c>
      <c r="O49" s="150">
        <f>SUBTOTAL(9,O$40:O48)</f>
        <v>17084.344711703161</v>
      </c>
      <c r="P49" s="150">
        <f>SUBTOTAL(9,P$40:P48)</f>
        <v>18286.625696717907</v>
      </c>
    </row>
    <row r="50" spans="2:17" ht="13.8" thickTop="1">
      <c r="C50" s="33"/>
      <c r="D50" s="7"/>
      <c r="E50" s="7"/>
      <c r="F50" s="7"/>
      <c r="G50" s="7"/>
      <c r="H50" s="7"/>
      <c r="I50" s="7"/>
      <c r="J50" s="7"/>
      <c r="K50" s="7"/>
      <c r="L50" s="171"/>
      <c r="M50" s="171"/>
      <c r="N50" s="171"/>
      <c r="O50" s="171"/>
      <c r="P50" s="171"/>
    </row>
    <row r="51" spans="2:17" hidden="1" outlineLevel="1">
      <c r="C51" s="28"/>
      <c r="D51" s="7" t="s">
        <v>135</v>
      </c>
      <c r="K51" s="162">
        <f>G10</f>
        <v>45607</v>
      </c>
      <c r="L51" s="162">
        <f>DATE(YEAR(G10),12,31)</f>
        <v>45657</v>
      </c>
      <c r="M51" s="162">
        <f>EDATE(L51,12)</f>
        <v>46022</v>
      </c>
      <c r="N51" s="162">
        <f>EDATE(M51,12)</f>
        <v>46387</v>
      </c>
      <c r="O51" s="162">
        <f>EDATE(N51,12)</f>
        <v>46752</v>
      </c>
      <c r="P51" s="162">
        <f>EDATE(O51,12)</f>
        <v>47118</v>
      </c>
      <c r="Q51" s="162">
        <f>P51</f>
        <v>47118</v>
      </c>
    </row>
    <row r="52" spans="2:17" hidden="1" outlineLevel="1">
      <c r="C52" s="28"/>
      <c r="D52" s="141" t="s">
        <v>147</v>
      </c>
      <c r="K52" s="144">
        <f>-P13</f>
        <v>-181168.22506</v>
      </c>
      <c r="L52" s="144">
        <f>YEARFRAC(G10,L51)*L49</f>
        <v>1653.7815824767665</v>
      </c>
      <c r="M52" s="144">
        <f>M49</f>
        <v>14339.070938210061</v>
      </c>
      <c r="N52" s="144">
        <f>N49</f>
        <v>15655.809287361084</v>
      </c>
      <c r="O52" s="144">
        <f>O49</f>
        <v>17084.344711703161</v>
      </c>
      <c r="P52" s="144">
        <f>P49</f>
        <v>18286.625696717907</v>
      </c>
      <c r="Q52" s="144">
        <f>AVERAGE(P21,P27)</f>
        <v>251119.46959404543</v>
      </c>
    </row>
    <row r="53" spans="2:17" hidden="1" outlineLevel="1">
      <c r="C53" s="28"/>
      <c r="D53" s="141" t="s">
        <v>146</v>
      </c>
      <c r="K53" s="163">
        <f t="shared" ref="K53:Q53" si="0">K52/$F$56</f>
        <v>-11.497155005975825</v>
      </c>
      <c r="L53" s="163">
        <f t="shared" si="0"/>
        <v>0.10495098240028747</v>
      </c>
      <c r="M53" s="163">
        <f t="shared" si="0"/>
        <v>0.9099748102278189</v>
      </c>
      <c r="N53" s="163">
        <f t="shared" si="0"/>
        <v>0.99353662079083738</v>
      </c>
      <c r="O53" s="163">
        <f t="shared" si="0"/>
        <v>1.0841932091619435</v>
      </c>
      <c r="P53" s="163">
        <f t="shared" si="0"/>
        <v>1.160491416758082</v>
      </c>
      <c r="Q53" s="163">
        <f t="shared" si="0"/>
        <v>15.936345713962769</v>
      </c>
    </row>
    <row r="54" spans="2:17" collapsed="1">
      <c r="C54" s="28"/>
      <c r="L54" s="149"/>
      <c r="M54" s="149"/>
      <c r="N54" s="149"/>
      <c r="O54" s="149"/>
      <c r="P54" s="149"/>
    </row>
    <row r="55" spans="2:17" ht="14.4">
      <c r="B55" s="28" t="s">
        <v>156</v>
      </c>
      <c r="F55" s="209">
        <f>F62/F56</f>
        <v>13.099227216317967</v>
      </c>
      <c r="K55" s="33" t="s">
        <v>135</v>
      </c>
      <c r="L55" s="170" t="s">
        <v>147</v>
      </c>
      <c r="M55" s="33"/>
      <c r="P55" s="172">
        <f>F67</f>
        <v>13.099227216317967</v>
      </c>
    </row>
    <row r="56" spans="2:17" ht="14.4">
      <c r="B56" s="141" t="s">
        <v>144</v>
      </c>
      <c r="F56" s="144">
        <f>G11</f>
        <v>15757.656999999999</v>
      </c>
      <c r="K56" s="147" cm="1">
        <f t="array" ref="K56:K61">TRANSPOSE(K51:P51)</f>
        <v>45607</v>
      </c>
      <c r="L56" s="44" cm="1">
        <f t="array" ref="L56:L61">TRANSPOSE(K52:P52)</f>
        <v>-181168.22506</v>
      </c>
      <c r="M56" s="44"/>
      <c r="O56" s="174">
        <v>0.15</v>
      </c>
      <c r="P56" s="176">
        <f t="dataTable" ref="P56:P61" dt2D="0" dtr="0" r1="G27" ca="1"/>
        <v>14.590642167032087</v>
      </c>
    </row>
    <row r="57" spans="2:17" ht="14.4">
      <c r="B57" s="141" t="s">
        <v>136</v>
      </c>
      <c r="F57" s="5">
        <f>G29</f>
        <v>0.14704605400582052</v>
      </c>
      <c r="K57" s="147">
        <v>45657</v>
      </c>
      <c r="L57" s="44">
        <v>1653.7815824767665</v>
      </c>
      <c r="M57" s="44"/>
      <c r="O57" s="174">
        <v>0.24</v>
      </c>
      <c r="P57" s="176">
        <v>13.802225614089044</v>
      </c>
    </row>
    <row r="58" spans="2:17" ht="14.4">
      <c r="B58" s="141" t="s">
        <v>137</v>
      </c>
      <c r="F58" s="144">
        <f>XNPV(F57,(K52:Q52),K51:Q51)-K52</f>
        <v>189350.0294398033</v>
      </c>
      <c r="K58" s="147">
        <v>46022</v>
      </c>
      <c r="L58" s="44">
        <v>14339.070938210061</v>
      </c>
      <c r="M58" s="44"/>
      <c r="O58" s="174">
        <v>0.28000000000000003</v>
      </c>
      <c r="P58" s="176">
        <v>13.450984024588651</v>
      </c>
    </row>
    <row r="59" spans="2:17" ht="14.4">
      <c r="B59" s="167" t="s">
        <v>138</v>
      </c>
      <c r="F59" s="144">
        <f>P12</f>
        <v>21187.100000000002</v>
      </c>
      <c r="K59" s="147">
        <v>46387</v>
      </c>
      <c r="L59" s="44">
        <v>15655.809287361084</v>
      </c>
      <c r="M59" s="44"/>
      <c r="O59" s="174">
        <v>0.3</v>
      </c>
      <c r="P59" s="176">
        <v>13.275170104459118</v>
      </c>
    </row>
    <row r="60" spans="2:17" ht="14.4">
      <c r="B60" s="167" t="s">
        <v>139</v>
      </c>
      <c r="F60" s="144">
        <f>-P10</f>
        <v>-3380.2999999999997</v>
      </c>
      <c r="K60" s="147">
        <v>46752</v>
      </c>
      <c r="L60" s="44">
        <v>17084.344711703161</v>
      </c>
      <c r="M60" s="44"/>
      <c r="O60" s="174">
        <v>0.32</v>
      </c>
      <c r="P60" s="402">
        <v>13.099227216317967</v>
      </c>
    </row>
    <row r="61" spans="2:17" ht="14.4">
      <c r="B61" s="168" t="s">
        <v>140</v>
      </c>
      <c r="C61" s="168"/>
      <c r="D61" s="7"/>
      <c r="E61" s="7"/>
      <c r="F61" s="164">
        <f>-P11</f>
        <v>-743.7</v>
      </c>
      <c r="K61" s="162">
        <v>47118</v>
      </c>
      <c r="L61" s="75">
        <v>18286.625696717907</v>
      </c>
      <c r="M61" s="75">
        <f>Q52</f>
        <v>251119.46959404543</v>
      </c>
      <c r="O61" s="178">
        <v>0.34</v>
      </c>
      <c r="P61" s="176">
        <v>12.923155196485254</v>
      </c>
    </row>
    <row r="62" spans="2:17">
      <c r="B62" s="9" t="s">
        <v>141</v>
      </c>
      <c r="F62" s="144">
        <f>SUM(F58:F61)</f>
        <v>206413.12943980331</v>
      </c>
      <c r="K62" s="163"/>
      <c r="P62" s="179" t="s">
        <v>150</v>
      </c>
    </row>
    <row r="63" spans="2:17">
      <c r="B63" s="28"/>
      <c r="F63" s="138"/>
      <c r="K63" s="163"/>
      <c r="P63" s="179"/>
    </row>
    <row r="64" spans="2:17" ht="14.4">
      <c r="K64" s="175">
        <f>F67</f>
        <v>13.099227216317967</v>
      </c>
      <c r="L64" s="173">
        <v>0.02</v>
      </c>
      <c r="M64" s="173">
        <v>0.03</v>
      </c>
      <c r="N64" s="173">
        <v>0.04</v>
      </c>
      <c r="O64" s="173">
        <v>0.05</v>
      </c>
      <c r="P64" s="180">
        <v>0.06</v>
      </c>
      <c r="Q64" s="163"/>
    </row>
    <row r="65" spans="2:16" ht="14.4">
      <c r="B65" s="28" t="s">
        <v>143</v>
      </c>
      <c r="K65" s="174">
        <v>0.13</v>
      </c>
      <c r="L65" s="82">
        <f t="dataTable" ref="L65:P69" dt2D="1" dtr="1" r1="P25" r2="P24"/>
        <v>12.717328823406012</v>
      </c>
      <c r="M65" s="82">
        <v>13.1673217303637</v>
      </c>
      <c r="N65" s="82">
        <v>13.70429990029797</v>
      </c>
      <c r="O65" s="82">
        <v>14.360882806825037</v>
      </c>
      <c r="P65" s="82">
        <v>15.188329622770389</v>
      </c>
    </row>
    <row r="66" spans="2:16" ht="14.4">
      <c r="B66" s="141" t="s">
        <v>145</v>
      </c>
      <c r="F66" s="403">
        <f>G12</f>
        <v>12.58</v>
      </c>
      <c r="K66" s="174">
        <v>0.14000000000000001</v>
      </c>
      <c r="L66" s="82">
        <v>12.472204207402424</v>
      </c>
      <c r="M66" s="82">
        <v>12.864855628856176</v>
      </c>
      <c r="N66" s="82">
        <v>13.324325489888068</v>
      </c>
      <c r="O66" s="82">
        <v>13.872886603690802</v>
      </c>
      <c r="P66" s="82">
        <v>14.543948190053451</v>
      </c>
    </row>
    <row r="67" spans="2:16" ht="14.4">
      <c r="B67" s="165" t="s">
        <v>142</v>
      </c>
      <c r="C67" s="7"/>
      <c r="D67" s="7"/>
      <c r="E67" s="7"/>
      <c r="F67" s="166">
        <f>F55</f>
        <v>13.099227216317967</v>
      </c>
      <c r="K67" s="174">
        <v>0.14699999999999999</v>
      </c>
      <c r="L67" s="82">
        <v>12.32358534573096</v>
      </c>
      <c r="M67" s="82">
        <v>12.683893004022618</v>
      </c>
      <c r="N67" s="177">
        <v>13.100602238899059</v>
      </c>
      <c r="O67" s="82">
        <v>13.591156836932893</v>
      </c>
      <c r="P67" s="82">
        <v>14.181020716454258</v>
      </c>
    </row>
    <row r="68" spans="2:16" ht="14.4">
      <c r="B68" s="142" t="s">
        <v>120</v>
      </c>
      <c r="C68" s="28"/>
      <c r="D68" s="28"/>
      <c r="F68" s="161">
        <f>F67/F66-1</f>
        <v>4.1274023554687345E-2</v>
      </c>
      <c r="K68" s="174">
        <v>0.15</v>
      </c>
      <c r="L68" s="82">
        <v>12.264791070784007</v>
      </c>
      <c r="M68" s="82">
        <v>12.612800544266575</v>
      </c>
      <c r="N68" s="401">
        <v>13.013437335916329</v>
      </c>
      <c r="O68" s="82">
        <v>13.482489641183411</v>
      </c>
      <c r="P68" s="82">
        <v>14.042762631273611</v>
      </c>
    </row>
    <row r="69" spans="2:16" ht="14.4">
      <c r="B69" s="141" t="s">
        <v>129</v>
      </c>
      <c r="F69" s="5">
        <f>XIRR(K52:Q52,K51:Q51)</f>
        <v>0.16073473095893864</v>
      </c>
      <c r="K69" s="178">
        <v>0.16</v>
      </c>
      <c r="L69" s="176">
        <v>12.087008382253931</v>
      </c>
      <c r="M69" s="176">
        <v>12.399523164998453</v>
      </c>
      <c r="N69" s="176">
        <v>12.754363874273212</v>
      </c>
      <c r="O69" s="176">
        <v>13.163073944586458</v>
      </c>
      <c r="P69" s="82">
        <v>13.641814184249741</v>
      </c>
    </row>
    <row r="70" spans="2:16">
      <c r="B70" s="141"/>
      <c r="F70" s="5"/>
      <c r="P70" s="179" t="s">
        <v>149</v>
      </c>
    </row>
    <row r="81" spans="12:12">
      <c r="L81" s="169" t="s">
        <v>148</v>
      </c>
    </row>
  </sheetData>
  <conditionalFormatting sqref="L65:P69">
    <cfRule type="cellIs" dxfId="3" priority="2" operator="greaterThan">
      <formula>$F$66</formula>
    </cfRule>
  </conditionalFormatting>
  <conditionalFormatting sqref="P56:P61">
    <cfRule type="cellIs" dxfId="2" priority="1" operator="greaterThan">
      <formula>$F$66</formula>
    </cfRule>
  </conditionalFormatting>
  <printOptions horizontalCentered="1"/>
  <pageMargins left="0.11811023622047245" right="0.11811023622047245" top="0.39370078740157483" bottom="0.39370078740157483" header="0.11811023622047245" footer="0.11811023622047245"/>
  <pageSetup paperSize="9" scale="95" orientation="landscape" r:id="rId1"/>
  <headerFooter>
    <oddFooter xml:space="preserve">&amp;L&amp;A&amp;CPágina &amp;P de &amp;N &amp;R&amp;D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07DC2-EC84-4898-B4BF-AC9AF0BB3E7A}">
  <sheetPr codeName="Sheet6">
    <tabColor theme="1" tint="0.34998626667073579"/>
  </sheetPr>
  <dimension ref="A2:R170"/>
  <sheetViews>
    <sheetView showGridLines="0" zoomScale="99" zoomScaleNormal="85" workbookViewId="0">
      <selection activeCell="Q7" sqref="Q7"/>
    </sheetView>
  </sheetViews>
  <sheetFormatPr defaultColWidth="9.109375" defaultRowHeight="13.2"/>
  <cols>
    <col min="1" max="1" width="44.109375" style="288" bestFit="1" customWidth="1"/>
    <col min="2" max="2" width="12.109375" style="288" bestFit="1" customWidth="1"/>
    <col min="3" max="3" width="13.5546875" style="288" bestFit="1" customWidth="1"/>
    <col min="4" max="4" width="8.88671875" style="288" customWidth="1"/>
    <col min="5" max="5" width="38.109375" style="288" bestFit="1" customWidth="1"/>
    <col min="6" max="6" width="8.88671875" style="288" customWidth="1"/>
    <col min="7" max="10" width="9.109375" style="288"/>
    <col min="11" max="13" width="9.109375" style="288" bestFit="1"/>
    <col min="14" max="16384" width="9.109375" style="288"/>
  </cols>
  <sheetData>
    <row r="2" spans="1:17" ht="12.6" customHeight="1">
      <c r="A2" s="330" t="s">
        <v>222</v>
      </c>
      <c r="B2" s="404" t="s">
        <v>223</v>
      </c>
      <c r="C2" s="405" t="s">
        <v>224</v>
      </c>
      <c r="E2" s="331" t="s">
        <v>222</v>
      </c>
      <c r="F2" s="406" t="s">
        <v>225</v>
      </c>
      <c r="G2" s="407" t="s">
        <v>226</v>
      </c>
      <c r="I2" t="s">
        <v>36</v>
      </c>
      <c r="J2"/>
      <c r="K2"/>
      <c r="L2" s="24"/>
      <c r="M2" s="11"/>
      <c r="N2" s="372">
        <f>B5</f>
        <v>58378.995000000003</v>
      </c>
      <c r="O2" s="372">
        <f>C5</f>
        <v>72854.343999999997</v>
      </c>
      <c r="P2" s="372">
        <f>F5</f>
        <v>79708.827000000005</v>
      </c>
      <c r="Q2" s="372">
        <f>G5</f>
        <v>79736.856</v>
      </c>
    </row>
    <row r="3" spans="1:17" ht="12.6" customHeight="1">
      <c r="A3" s="332" t="s">
        <v>171</v>
      </c>
      <c r="B3" s="404"/>
      <c r="C3" s="405"/>
      <c r="E3" s="333" t="s">
        <v>171</v>
      </c>
      <c r="F3" s="406">
        <v>0</v>
      </c>
      <c r="G3" s="407">
        <v>0</v>
      </c>
      <c r="I3" s="9" t="s">
        <v>14</v>
      </c>
      <c r="J3"/>
      <c r="K3"/>
      <c r="L3" s="24"/>
      <c r="M3" s="11"/>
      <c r="N3" s="372">
        <f>B6-N10</f>
        <v>-21898.748999999996</v>
      </c>
      <c r="O3" s="372">
        <f>C6-O10</f>
        <v>-30263.057000000001</v>
      </c>
      <c r="P3" s="372">
        <f>F6-P10</f>
        <v>-34465.819000000003</v>
      </c>
      <c r="Q3" s="372">
        <f>G6-Q10</f>
        <v>-32873.659</v>
      </c>
    </row>
    <row r="4" spans="1:17">
      <c r="A4" s="285"/>
      <c r="B4" s="286"/>
      <c r="C4" s="287"/>
      <c r="E4" s="289"/>
      <c r="F4" s="334"/>
      <c r="G4" s="335"/>
      <c r="I4" s="28" t="s">
        <v>37</v>
      </c>
      <c r="J4"/>
      <c r="K4"/>
      <c r="L4" s="29"/>
      <c r="M4" s="11"/>
      <c r="N4" s="68">
        <f>N2+N3</f>
        <v>36480.246000000006</v>
      </c>
      <c r="O4" s="68">
        <f>O2+O3</f>
        <v>42591.286999999997</v>
      </c>
      <c r="P4" s="68">
        <f>P2+P3</f>
        <v>45243.008000000002</v>
      </c>
      <c r="Q4" s="68">
        <f>Q2+Q3</f>
        <v>46863.197</v>
      </c>
    </row>
    <row r="5" spans="1:17">
      <c r="A5" s="285" t="s">
        <v>227</v>
      </c>
      <c r="B5" s="295">
        <v>58378.995000000003</v>
      </c>
      <c r="C5" s="296">
        <v>72854.343999999997</v>
      </c>
      <c r="E5" s="336" t="s">
        <v>227</v>
      </c>
      <c r="F5" s="337">
        <v>79708.827000000005</v>
      </c>
      <c r="G5" s="338">
        <v>79736.856</v>
      </c>
      <c r="I5"/>
      <c r="J5"/>
      <c r="K5"/>
      <c r="L5" s="24"/>
      <c r="M5" s="11"/>
      <c r="N5" s="35"/>
      <c r="O5" s="35"/>
      <c r="P5" s="35"/>
      <c r="Q5" s="35"/>
    </row>
    <row r="6" spans="1:17">
      <c r="A6" s="285" t="s">
        <v>228</v>
      </c>
      <c r="B6" s="295">
        <v>-27066.098999999998</v>
      </c>
      <c r="C6" s="296">
        <v>-35659.743999999999</v>
      </c>
      <c r="D6" s="339"/>
      <c r="E6" s="336" t="s">
        <v>228</v>
      </c>
      <c r="F6" s="337">
        <v>-40422.069000000003</v>
      </c>
      <c r="G6" s="338">
        <v>-39291.571000000004</v>
      </c>
      <c r="I6" s="6" t="s">
        <v>38</v>
      </c>
      <c r="J6"/>
      <c r="K6"/>
      <c r="L6" s="24"/>
      <c r="M6" s="11"/>
      <c r="N6" s="97">
        <f>B9+B10+B11</f>
        <v>-17568.066999999999</v>
      </c>
      <c r="O6" s="97">
        <f>C9+C10+C11</f>
        <v>-21845.644</v>
      </c>
      <c r="P6" s="97">
        <f>F9+F10+F11</f>
        <v>-23969.446</v>
      </c>
      <c r="Q6" s="97">
        <f>G9+G10+G11</f>
        <v>-23436.718999999997</v>
      </c>
    </row>
    <row r="7" spans="1:17" s="293" customFormat="1">
      <c r="A7" s="290" t="s">
        <v>229</v>
      </c>
      <c r="B7" s="327">
        <v>31312.896000000001</v>
      </c>
      <c r="C7" s="328">
        <v>37194.6</v>
      </c>
      <c r="D7" s="339"/>
      <c r="E7" s="294" t="s">
        <v>229</v>
      </c>
      <c r="F7" s="340">
        <v>39286.758000000002</v>
      </c>
      <c r="G7" s="341">
        <v>40445.285000000003</v>
      </c>
      <c r="I7" s="6" t="s">
        <v>40</v>
      </c>
      <c r="J7"/>
      <c r="K7"/>
      <c r="L7" s="24"/>
      <c r="M7" s="11"/>
      <c r="N7" s="373">
        <f>B12+B16+B21</f>
        <v>2184.0610000000001</v>
      </c>
      <c r="O7" s="373">
        <f>C12+C16+C21</f>
        <v>1615.5690000000002</v>
      </c>
      <c r="P7" s="373">
        <f>F12+F16+F21</f>
        <v>2341.5279999999998</v>
      </c>
      <c r="Q7" s="373">
        <f>G12+G16+G21</f>
        <v>1637.126</v>
      </c>
    </row>
    <row r="8" spans="1:17" ht="7.5" customHeight="1">
      <c r="A8" s="285"/>
      <c r="B8" s="295"/>
      <c r="C8" s="296"/>
      <c r="E8" s="289"/>
      <c r="F8" s="337"/>
      <c r="G8" s="338"/>
      <c r="I8" s="23"/>
      <c r="J8"/>
      <c r="K8"/>
      <c r="L8" s="29"/>
      <c r="M8" s="11"/>
      <c r="O8" s="68"/>
      <c r="P8" s="68"/>
      <c r="Q8" s="68"/>
    </row>
    <row r="9" spans="1:17">
      <c r="A9" s="285" t="s">
        <v>230</v>
      </c>
      <c r="B9" s="295">
        <v>-8245.0290000000005</v>
      </c>
      <c r="C9" s="296">
        <v>-9932.7430000000004</v>
      </c>
      <c r="D9" s="342"/>
      <c r="E9" s="336" t="s">
        <v>230</v>
      </c>
      <c r="F9" s="337">
        <v>-11395.31</v>
      </c>
      <c r="G9" s="338">
        <v>-10750.585999999999</v>
      </c>
      <c r="I9" s="23" t="s">
        <v>0</v>
      </c>
      <c r="J9"/>
      <c r="K9"/>
      <c r="L9" s="29"/>
      <c r="M9" s="11"/>
      <c r="N9" s="68">
        <f>N4+N6+N7</f>
        <v>21096.240000000009</v>
      </c>
      <c r="O9" s="68">
        <f>O4+O6+O7</f>
        <v>22361.211999999996</v>
      </c>
      <c r="P9" s="68">
        <f>P4+P6+P7</f>
        <v>23615.09</v>
      </c>
      <c r="Q9" s="68">
        <f>Q4+Q6+Q7</f>
        <v>25063.604000000003</v>
      </c>
    </row>
    <row r="10" spans="1:17">
      <c r="A10" s="285" t="s">
        <v>231</v>
      </c>
      <c r="B10" s="295">
        <v>-6374.558</v>
      </c>
      <c r="C10" s="296">
        <v>-7035.5119999999997</v>
      </c>
      <c r="D10" s="342"/>
      <c r="E10" s="336" t="s">
        <v>231</v>
      </c>
      <c r="F10" s="337">
        <v>-7337.37</v>
      </c>
      <c r="G10" s="338">
        <v>-7412.4629999999997</v>
      </c>
      <c r="I10" t="s">
        <v>39</v>
      </c>
      <c r="J10"/>
      <c r="K10"/>
      <c r="L10" s="24"/>
      <c r="M10" s="11"/>
      <c r="N10" s="373">
        <f>-B122</f>
        <v>-5167.3500000000004</v>
      </c>
      <c r="O10" s="373">
        <f>-C122</f>
        <v>-5396.6869999999999</v>
      </c>
      <c r="P10" s="373">
        <f>-F122</f>
        <v>-5956.25</v>
      </c>
      <c r="Q10" s="373">
        <f>-G122</f>
        <v>-6417.9120000000003</v>
      </c>
    </row>
    <row r="11" spans="1:17">
      <c r="A11" s="285" t="s">
        <v>232</v>
      </c>
      <c r="B11" s="295">
        <v>-2948.48</v>
      </c>
      <c r="C11" s="296">
        <v>-4877.3890000000001</v>
      </c>
      <c r="D11" s="342"/>
      <c r="E11" s="336" t="s">
        <v>232</v>
      </c>
      <c r="F11" s="337">
        <v>-5236.7659999999996</v>
      </c>
      <c r="G11" s="338">
        <v>-5273.67</v>
      </c>
      <c r="I11" s="288" t="s">
        <v>1</v>
      </c>
      <c r="N11" s="374">
        <f>N10+N9</f>
        <v>15928.890000000009</v>
      </c>
      <c r="O11" s="374">
        <f>O10+O9</f>
        <v>16964.524999999994</v>
      </c>
      <c r="P11" s="374">
        <f>P10+P9</f>
        <v>17658.84</v>
      </c>
      <c r="Q11" s="374">
        <f>Q10+Q9</f>
        <v>18645.692000000003</v>
      </c>
    </row>
    <row r="12" spans="1:17">
      <c r="A12" s="285" t="s">
        <v>233</v>
      </c>
      <c r="B12" s="295">
        <v>2679.355</v>
      </c>
      <c r="C12" s="296">
        <v>2124.0830000000001</v>
      </c>
      <c r="E12" s="336" t="s">
        <v>233</v>
      </c>
      <c r="F12" s="337">
        <v>2513.904</v>
      </c>
      <c r="G12" s="338">
        <v>2028.8879999999999</v>
      </c>
      <c r="I12" s="28"/>
      <c r="J12"/>
      <c r="K12"/>
      <c r="L12" s="29"/>
      <c r="M12"/>
      <c r="N12" s="68">
        <f>N11-B18</f>
        <v>-43.283999999992375</v>
      </c>
      <c r="O12" s="68">
        <f>O11-C18</f>
        <v>-115.70300000000498</v>
      </c>
      <c r="P12" s="68">
        <f>P11-F18</f>
        <v>-29.105999999999767</v>
      </c>
      <c r="Q12" s="68">
        <f>Q11-G18</f>
        <v>-185.40599999999904</v>
      </c>
    </row>
    <row r="13" spans="1:17" ht="7.5" customHeight="1">
      <c r="A13" s="285"/>
      <c r="B13" s="295"/>
      <c r="C13" s="296"/>
      <c r="E13" s="289"/>
      <c r="F13" s="337"/>
      <c r="G13" s="338"/>
    </row>
    <row r="14" spans="1:17" s="293" customFormat="1">
      <c r="A14" s="290" t="s">
        <v>234</v>
      </c>
      <c r="B14" s="327">
        <v>16424.184000000001</v>
      </c>
      <c r="C14" s="328">
        <v>17473.039000000001</v>
      </c>
      <c r="D14" s="343"/>
      <c r="E14" s="294" t="s">
        <v>234</v>
      </c>
      <c r="F14" s="340">
        <v>17831.216</v>
      </c>
      <c r="G14" s="341">
        <v>19037.454000000002</v>
      </c>
      <c r="I14" s="9" t="s">
        <v>18</v>
      </c>
      <c r="J14"/>
      <c r="K14"/>
      <c r="L14" s="24"/>
      <c r="M14"/>
      <c r="N14" s="48">
        <f>B20</f>
        <v>-2434.4490000000001</v>
      </c>
      <c r="O14" s="48">
        <f>C20</f>
        <v>-3205.3649999999998</v>
      </c>
      <c r="P14" s="48">
        <f>F20</f>
        <v>-3423.17</v>
      </c>
      <c r="Q14" s="48">
        <f>G20</f>
        <v>-3609.752</v>
      </c>
    </row>
    <row r="15" spans="1:17" ht="7.5" customHeight="1">
      <c r="A15" s="285"/>
      <c r="B15" s="295"/>
      <c r="C15" s="296"/>
      <c r="E15" s="289"/>
      <c r="F15" s="337"/>
      <c r="G15" s="338"/>
    </row>
    <row r="16" spans="1:17">
      <c r="A16" s="285" t="s">
        <v>235</v>
      </c>
      <c r="B16" s="295">
        <v>-452.01</v>
      </c>
      <c r="C16" s="296">
        <v>-392.81099999999998</v>
      </c>
      <c r="D16" s="342"/>
      <c r="E16" s="336" t="s">
        <v>235</v>
      </c>
      <c r="F16" s="337">
        <v>-143.27000000000001</v>
      </c>
      <c r="G16" s="338">
        <v>-206.35599999999999</v>
      </c>
      <c r="I16" s="288" t="s">
        <v>297</v>
      </c>
      <c r="N16" s="374">
        <f>N14+N11</f>
        <v>13494.441000000008</v>
      </c>
      <c r="O16" s="374">
        <f>O14+O11</f>
        <v>13759.159999999994</v>
      </c>
      <c r="P16" s="374">
        <f>P14+P11</f>
        <v>14235.67</v>
      </c>
      <c r="Q16" s="374">
        <f>Q14+Q11</f>
        <v>15035.940000000002</v>
      </c>
    </row>
    <row r="17" spans="1:17" customFormat="1" ht="7.5" customHeight="1">
      <c r="A17" s="285"/>
      <c r="B17" s="295"/>
      <c r="C17" s="296"/>
      <c r="D17" s="288"/>
      <c r="E17" s="289"/>
      <c r="F17" s="337"/>
      <c r="G17" s="338"/>
      <c r="H17" s="288"/>
      <c r="I17" s="38"/>
      <c r="J17" s="28"/>
      <c r="K17" s="28"/>
      <c r="L17" s="29"/>
    </row>
    <row r="18" spans="1:17" s="293" customFormat="1">
      <c r="A18" s="290" t="s">
        <v>236</v>
      </c>
      <c r="B18" s="327">
        <v>15972.174000000001</v>
      </c>
      <c r="C18" s="328">
        <v>17080.227999999999</v>
      </c>
      <c r="D18" s="342"/>
      <c r="E18" s="294" t="s">
        <v>236</v>
      </c>
      <c r="F18" s="340">
        <v>17687.946</v>
      </c>
      <c r="G18" s="341">
        <v>18831.098000000002</v>
      </c>
      <c r="I18" t="s">
        <v>41</v>
      </c>
      <c r="J18"/>
      <c r="K18"/>
      <c r="L18" s="24"/>
      <c r="M18"/>
      <c r="N18" s="48">
        <f>B25</f>
        <v>-1762.5319999999999</v>
      </c>
      <c r="O18" s="48">
        <f>C25</f>
        <v>-636.57799999999997</v>
      </c>
      <c r="P18" s="48">
        <f>F25</f>
        <v>655.62099999999998</v>
      </c>
      <c r="Q18" s="48">
        <f>G25</f>
        <v>-75.480999999999995</v>
      </c>
    </row>
    <row r="19" spans="1:17" ht="7.5" customHeight="1">
      <c r="A19" s="285"/>
      <c r="B19" s="295"/>
      <c r="C19" s="296"/>
      <c r="E19" s="289"/>
      <c r="F19" s="337"/>
      <c r="G19" s="338"/>
    </row>
    <row r="20" spans="1:17">
      <c r="A20" s="285" t="s">
        <v>237</v>
      </c>
      <c r="B20" s="295">
        <v>-2434.4490000000001</v>
      </c>
      <c r="C20" s="296">
        <v>-3205.3649999999998</v>
      </c>
      <c r="E20" s="336" t="s">
        <v>237</v>
      </c>
      <c r="F20" s="337">
        <v>-3423.17</v>
      </c>
      <c r="G20" s="338">
        <v>-3609.752</v>
      </c>
      <c r="I20" s="288" t="s">
        <v>298</v>
      </c>
      <c r="N20" s="375">
        <f>N18+N16</f>
        <v>11731.909000000009</v>
      </c>
      <c r="O20" s="375">
        <f>O18+O16</f>
        <v>13122.581999999995</v>
      </c>
      <c r="P20" s="375">
        <f>P18+P16</f>
        <v>14891.290999999999</v>
      </c>
      <c r="Q20" s="375">
        <f>Q18+Q16</f>
        <v>14960.459000000003</v>
      </c>
    </row>
    <row r="21" spans="1:17" ht="19.8">
      <c r="A21" s="285" t="s">
        <v>238</v>
      </c>
      <c r="B21" s="295">
        <v>-43.283999999999999</v>
      </c>
      <c r="C21" s="296">
        <v>-115.703</v>
      </c>
      <c r="E21" s="336" t="s">
        <v>238</v>
      </c>
      <c r="F21" s="337">
        <v>-29.106000000000002</v>
      </c>
      <c r="G21" s="338">
        <v>-185.40600000000001</v>
      </c>
    </row>
    <row r="22" spans="1:17" ht="7.5" customHeight="1">
      <c r="A22" s="285"/>
      <c r="B22" s="295"/>
      <c r="C22" s="296"/>
      <c r="E22" s="289"/>
      <c r="F22" s="337"/>
      <c r="G22" s="338"/>
    </row>
    <row r="23" spans="1:17" s="293" customFormat="1">
      <c r="A23" s="290" t="s">
        <v>239</v>
      </c>
      <c r="B23" s="327">
        <v>13494.441000000001</v>
      </c>
      <c r="C23" s="328">
        <v>13759.16</v>
      </c>
      <c r="D23" s="343"/>
      <c r="E23" s="294" t="s">
        <v>239</v>
      </c>
      <c r="F23" s="340">
        <v>14235.67</v>
      </c>
      <c r="G23" s="341">
        <v>15035.94</v>
      </c>
    </row>
    <row r="24" spans="1:17" ht="7.5" customHeight="1">
      <c r="A24" s="285"/>
      <c r="B24" s="295"/>
      <c r="C24" s="296"/>
      <c r="E24" s="289"/>
      <c r="F24" s="337"/>
      <c r="G24" s="338"/>
    </row>
    <row r="25" spans="1:17">
      <c r="A25" s="285" t="s">
        <v>240</v>
      </c>
      <c r="B25" s="295">
        <v>-1762.5319999999999</v>
      </c>
      <c r="C25" s="296">
        <v>-636.57799999999997</v>
      </c>
      <c r="E25" s="336" t="s">
        <v>240</v>
      </c>
      <c r="F25" s="337">
        <v>655.62099999999998</v>
      </c>
      <c r="G25" s="338">
        <v>-75.480999999999995</v>
      </c>
    </row>
    <row r="26" spans="1:17" ht="7.5" customHeight="1">
      <c r="A26" s="344"/>
      <c r="B26" s="312"/>
      <c r="C26" s="313"/>
      <c r="E26" s="345"/>
      <c r="F26" s="346"/>
      <c r="G26" s="347"/>
    </row>
    <row r="27" spans="1:17">
      <c r="A27" s="290" t="s">
        <v>241</v>
      </c>
      <c r="B27" s="327">
        <v>11731.909</v>
      </c>
      <c r="C27" s="328">
        <v>13122.582</v>
      </c>
      <c r="D27" s="348"/>
      <c r="E27" s="290" t="s">
        <v>241</v>
      </c>
      <c r="F27" s="327">
        <v>14891.290999999999</v>
      </c>
      <c r="G27" s="328">
        <v>14960.459000000001</v>
      </c>
    </row>
    <row r="28" spans="1:17">
      <c r="A28" s="349" t="s">
        <v>242</v>
      </c>
      <c r="B28" s="327">
        <v>11379.394</v>
      </c>
      <c r="C28" s="328">
        <v>12670.968000000001</v>
      </c>
      <c r="D28" s="350"/>
      <c r="E28" s="351" t="s">
        <v>242</v>
      </c>
      <c r="F28" s="340">
        <v>14457.942999999999</v>
      </c>
      <c r="G28" s="341">
        <v>14501.944</v>
      </c>
    </row>
    <row r="29" spans="1:17" s="293" customFormat="1" ht="13.8" thickBot="1">
      <c r="A29" s="352" t="s">
        <v>243</v>
      </c>
      <c r="B29" s="353">
        <v>352.51499999999999</v>
      </c>
      <c r="C29" s="354">
        <v>451.61399999999998</v>
      </c>
      <c r="D29" s="343"/>
      <c r="E29" s="355" t="s">
        <v>243</v>
      </c>
      <c r="F29" s="356">
        <v>433.34800000000001</v>
      </c>
      <c r="G29" s="357">
        <v>458.51499999999999</v>
      </c>
    </row>
    <row r="30" spans="1:17" ht="7.5" customHeight="1" thickTop="1">
      <c r="A30" s="285"/>
      <c r="B30" s="286"/>
      <c r="C30" s="287"/>
      <c r="E30" s="289"/>
      <c r="F30" s="358"/>
      <c r="G30" s="359"/>
    </row>
    <row r="31" spans="1:17">
      <c r="A31" s="285" t="s">
        <v>244</v>
      </c>
      <c r="B31" s="322">
        <v>0.72327871794815679</v>
      </c>
      <c r="C31" s="360">
        <v>0.80517345432270293</v>
      </c>
      <c r="D31" s="361"/>
      <c r="E31" s="336" t="s">
        <v>244</v>
      </c>
      <c r="F31" s="362">
        <v>0.91843738545674647</v>
      </c>
      <c r="G31" s="363">
        <v>0.9210638755969246</v>
      </c>
    </row>
    <row r="32" spans="1:17">
      <c r="A32" s="285" t="s">
        <v>245</v>
      </c>
      <c r="B32" s="322">
        <v>0.71714786674429576</v>
      </c>
      <c r="C32" s="360">
        <v>0.79905437222087039</v>
      </c>
      <c r="E32" s="336" t="s">
        <v>245</v>
      </c>
      <c r="F32" s="362">
        <v>0.9122517986870694</v>
      </c>
      <c r="G32" s="363">
        <v>0.9156068507617614</v>
      </c>
    </row>
    <row r="33" spans="1:18" ht="7.5" customHeight="1">
      <c r="A33" s="344"/>
      <c r="B33" s="312"/>
      <c r="C33" s="313"/>
      <c r="E33" s="345"/>
      <c r="F33" s="346"/>
      <c r="G33" s="347"/>
    </row>
    <row r="34" spans="1:18" s="293" customFormat="1" ht="13.8" thickBot="1">
      <c r="A34" s="364" t="s">
        <v>246</v>
      </c>
      <c r="B34" s="353">
        <v>12104.349</v>
      </c>
      <c r="C34" s="354">
        <v>13472.3</v>
      </c>
      <c r="E34" s="365" t="s">
        <v>246</v>
      </c>
      <c r="F34" s="356">
        <v>15166.803</v>
      </c>
      <c r="G34" s="357">
        <v>15227.191000000001</v>
      </c>
    </row>
    <row r="35" spans="1:18" ht="7.5" customHeight="1" thickTop="1">
      <c r="A35" s="285"/>
      <c r="B35" s="286"/>
      <c r="C35" s="287"/>
      <c r="E35" s="289"/>
      <c r="F35" s="358"/>
      <c r="G35" s="359"/>
    </row>
    <row r="36" spans="1:18">
      <c r="A36" s="285" t="s">
        <v>247</v>
      </c>
      <c r="B36" s="322">
        <v>0.7465212270364624</v>
      </c>
      <c r="C36" s="360">
        <v>0.82729064828856225</v>
      </c>
      <c r="E36" s="336" t="s">
        <v>247</v>
      </c>
      <c r="F36" s="362">
        <v>0.93581261478451072</v>
      </c>
      <c r="G36" s="363">
        <v>0.93789790406229545</v>
      </c>
    </row>
    <row r="37" spans="1:18">
      <c r="A37" s="285" t="s">
        <v>248</v>
      </c>
      <c r="B37" s="322">
        <v>0.74019336137428982</v>
      </c>
      <c r="C37" s="360">
        <v>0.82100348199938766</v>
      </c>
      <c r="E37" s="336" t="s">
        <v>248</v>
      </c>
      <c r="F37" s="362">
        <v>0.92951000752943991</v>
      </c>
      <c r="G37" s="363">
        <v>0.93234114270087687</v>
      </c>
    </row>
    <row r="38" spans="1:18" ht="7.5" customHeight="1">
      <c r="A38" s="285"/>
      <c r="B38" s="286"/>
      <c r="C38" s="287"/>
      <c r="E38" s="289"/>
      <c r="F38" s="358"/>
      <c r="G38" s="359"/>
    </row>
    <row r="39" spans="1:18">
      <c r="A39" s="285" t="s">
        <v>249</v>
      </c>
      <c r="B39" s="295">
        <v>15733.069033583333</v>
      </c>
      <c r="C39" s="296">
        <v>15736.942061333337</v>
      </c>
      <c r="E39" s="336" t="s">
        <v>249</v>
      </c>
      <c r="F39" s="337">
        <v>15741.892946583337</v>
      </c>
      <c r="G39" s="338">
        <v>15744.775562500001</v>
      </c>
    </row>
    <row r="40" spans="1:18">
      <c r="A40" s="285" t="s">
        <v>250</v>
      </c>
      <c r="B40" s="295">
        <v>15867.570033583333</v>
      </c>
      <c r="C40" s="296">
        <v>15857.454061333336</v>
      </c>
      <c r="E40" s="336" t="s">
        <v>250</v>
      </c>
      <c r="F40" s="337">
        <v>15848.631946583337</v>
      </c>
      <c r="G40" s="338">
        <v>15838.614562500001</v>
      </c>
    </row>
    <row r="41" spans="1:18" ht="12" customHeight="1"/>
    <row r="45" spans="1:18" ht="13.8">
      <c r="A45" s="276" t="s">
        <v>170</v>
      </c>
      <c r="B45" s="277"/>
      <c r="C45" s="278"/>
      <c r="D45" s="279"/>
      <c r="E45" s="279"/>
      <c r="F45" s="279"/>
      <c r="G45" s="279"/>
      <c r="I45" s="28" t="s">
        <v>56</v>
      </c>
      <c r="J45"/>
      <c r="K45"/>
      <c r="L45"/>
      <c r="M45"/>
      <c r="N45"/>
      <c r="O45"/>
      <c r="P45"/>
      <c r="Q45"/>
      <c r="R45"/>
    </row>
    <row r="46" spans="1:18" ht="28.8">
      <c r="A46" s="280" t="s">
        <v>171</v>
      </c>
      <c r="B46" s="281" t="s">
        <v>172</v>
      </c>
      <c r="C46" s="282" t="s">
        <v>173</v>
      </c>
      <c r="D46" s="283"/>
      <c r="E46" s="284" t="s">
        <v>171</v>
      </c>
      <c r="F46" s="281" t="s">
        <v>174</v>
      </c>
      <c r="G46" s="282" t="s">
        <v>175</v>
      </c>
      <c r="I46"/>
      <c r="J46" t="s">
        <v>53</v>
      </c>
      <c r="K46"/>
      <c r="L46"/>
      <c r="M46" s="24"/>
      <c r="N46" s="376">
        <f>B50+B51+B60</f>
        <v>19004.269999999997</v>
      </c>
      <c r="O46" s="376">
        <f>C50+C51+C60</f>
        <v>18735.182000000001</v>
      </c>
      <c r="P46" s="376">
        <f>F50+F51+F60</f>
        <v>15599.986999999999</v>
      </c>
      <c r="Q46" s="376">
        <f>G50+G51+G60</f>
        <v>16578.335000000003</v>
      </c>
    </row>
    <row r="47" spans="1:18">
      <c r="A47" s="285"/>
      <c r="B47" s="286"/>
      <c r="C47" s="287"/>
      <c r="E47" s="289"/>
      <c r="F47" s="286"/>
      <c r="G47" s="287"/>
      <c r="I47"/>
      <c r="J47" t="s">
        <v>54</v>
      </c>
      <c r="K47"/>
      <c r="L47"/>
      <c r="M47" s="24"/>
      <c r="N47" s="376">
        <f>B53</f>
        <v>4303.1379999999999</v>
      </c>
      <c r="O47" s="376">
        <f>C53</f>
        <v>4791.634</v>
      </c>
      <c r="P47" s="376">
        <f>F53</f>
        <v>5349.1049999999996</v>
      </c>
      <c r="Q47" s="376">
        <f>G53</f>
        <v>5741.4570000000003</v>
      </c>
    </row>
    <row r="48" spans="1:18">
      <c r="A48" s="290" t="s">
        <v>56</v>
      </c>
      <c r="B48" s="291"/>
      <c r="C48" s="292"/>
      <c r="D48" s="293"/>
      <c r="E48" s="294" t="s">
        <v>56</v>
      </c>
      <c r="F48" s="291"/>
      <c r="G48" s="292"/>
      <c r="I48"/>
      <c r="J48" t="s">
        <v>12</v>
      </c>
      <c r="K48"/>
      <c r="L48"/>
      <c r="M48" s="24"/>
      <c r="N48" s="376">
        <f>B54</f>
        <v>7605.9049999999997</v>
      </c>
      <c r="O48" s="376">
        <f>C54</f>
        <v>11000.346</v>
      </c>
      <c r="P48" s="376">
        <f>F54</f>
        <v>12923.025</v>
      </c>
      <c r="Q48" s="376">
        <f>G54</f>
        <v>9619.0220000000008</v>
      </c>
    </row>
    <row r="49" spans="1:17">
      <c r="A49" s="290" t="s">
        <v>176</v>
      </c>
      <c r="B49" s="291"/>
      <c r="C49" s="292"/>
      <c r="D49" s="293"/>
      <c r="E49" s="294" t="s">
        <v>176</v>
      </c>
      <c r="F49" s="291"/>
      <c r="G49" s="292"/>
      <c r="I49"/>
      <c r="J49" t="s">
        <v>55</v>
      </c>
      <c r="K49"/>
      <c r="L49"/>
      <c r="M49" s="24"/>
      <c r="N49" s="376">
        <f>B68+B69</f>
        <v>32348.911</v>
      </c>
      <c r="O49" s="376">
        <f>C68+C69</f>
        <v>37913.275999999998</v>
      </c>
      <c r="P49" s="376">
        <f>F69+F70</f>
        <v>39277.938999999998</v>
      </c>
      <c r="Q49" s="376">
        <f>G69+G70</f>
        <v>36671.888999999996</v>
      </c>
    </row>
    <row r="50" spans="1:17">
      <c r="A50" s="285" t="s">
        <v>177</v>
      </c>
      <c r="B50" s="295">
        <v>17090.334999999999</v>
      </c>
      <c r="C50" s="296">
        <v>16627.698</v>
      </c>
      <c r="E50" s="285" t="s">
        <v>177</v>
      </c>
      <c r="F50" s="297">
        <v>14926.434999999999</v>
      </c>
      <c r="G50" s="298">
        <v>16059.003000000001</v>
      </c>
      <c r="I50"/>
      <c r="J50" s="9" t="s">
        <v>8</v>
      </c>
      <c r="K50"/>
      <c r="L50"/>
      <c r="M50" s="24"/>
      <c r="N50" s="377">
        <f>B52+B55+B56+B57+B61+B62+B63+B64+B65+B66+B70+B67</f>
        <v>61934.35500000001</v>
      </c>
      <c r="O50" s="377">
        <f>C52+C55+C56+C57+C61+C62+C63+C64+C65+C66+C70+C67</f>
        <v>66162.044999999998</v>
      </c>
      <c r="P50" s="377">
        <f>F52+F56+F57+F61+F63+F64+F65+F66+F68+F71</f>
        <v>64808.026999999995</v>
      </c>
      <c r="Q50" s="377">
        <f>G52+G56+G57+G61+G63+G64+G65+G66+G68+G71</f>
        <v>64033.429999999993</v>
      </c>
    </row>
    <row r="51" spans="1:17" ht="13.8" thickBot="1">
      <c r="A51" s="285" t="s">
        <v>178</v>
      </c>
      <c r="B51" s="295">
        <v>1700.028</v>
      </c>
      <c r="C51" s="296">
        <v>1914.607</v>
      </c>
      <c r="E51" s="285" t="s">
        <v>178</v>
      </c>
      <c r="F51" s="297">
        <v>454.49700000000001</v>
      </c>
      <c r="G51" s="298">
        <v>277.16399999999999</v>
      </c>
      <c r="I51"/>
      <c r="J51" s="28" t="s">
        <v>57</v>
      </c>
      <c r="K51"/>
      <c r="L51"/>
      <c r="M51" s="29"/>
      <c r="N51" s="378">
        <f>SUBTOTAL(9,N46:N50)</f>
        <v>125196.579</v>
      </c>
      <c r="O51" s="378">
        <f>SUBTOTAL(9,O46:O50)</f>
        <v>138602.48300000001</v>
      </c>
      <c r="P51" s="378">
        <f>SUBTOTAL(9,P46:P50)</f>
        <v>137958.08299999998</v>
      </c>
      <c r="Q51" s="378">
        <f>SUBTOTAL(9,Q46:Q50)</f>
        <v>132644.13299999997</v>
      </c>
    </row>
    <row r="52" spans="1:17" ht="13.8" thickTop="1">
      <c r="A52" s="285" t="s">
        <v>179</v>
      </c>
      <c r="B52" s="295">
        <v>505.93299999999999</v>
      </c>
      <c r="C52" s="296">
        <v>597.39200000000005</v>
      </c>
      <c r="E52" s="285" t="s">
        <v>180</v>
      </c>
      <c r="F52" s="297">
        <v>272.30099999999999</v>
      </c>
      <c r="G52" s="298">
        <v>378.04899999999998</v>
      </c>
    </row>
    <row r="53" spans="1:17">
      <c r="A53" s="285" t="s">
        <v>181</v>
      </c>
      <c r="B53" s="295">
        <v>4303.1379999999999</v>
      </c>
      <c r="C53" s="296">
        <v>4791.634</v>
      </c>
      <c r="E53" s="285" t="s">
        <v>181</v>
      </c>
      <c r="F53" s="297">
        <v>5349.1049999999996</v>
      </c>
      <c r="G53" s="298">
        <v>5741.4570000000003</v>
      </c>
    </row>
    <row r="54" spans="1:17">
      <c r="A54" s="285" t="s">
        <v>64</v>
      </c>
      <c r="B54" s="295">
        <v>7605.9049999999997</v>
      </c>
      <c r="C54" s="296">
        <v>11000.346</v>
      </c>
      <c r="E54" s="285" t="s">
        <v>64</v>
      </c>
      <c r="F54" s="297">
        <v>12923.025</v>
      </c>
      <c r="G54" s="298">
        <v>9619.0220000000008</v>
      </c>
    </row>
    <row r="55" spans="1:17">
      <c r="A55" s="285" t="s">
        <v>182</v>
      </c>
      <c r="B55" s="295">
        <v>1759.2470000000001</v>
      </c>
      <c r="C55" s="296">
        <v>631.524</v>
      </c>
      <c r="E55" s="285" t="s">
        <v>182</v>
      </c>
      <c r="F55" s="297">
        <v>0</v>
      </c>
      <c r="G55" s="298">
        <v>0</v>
      </c>
    </row>
    <row r="56" spans="1:17">
      <c r="A56" s="285" t="s">
        <v>183</v>
      </c>
      <c r="B56" s="295">
        <v>1527.895</v>
      </c>
      <c r="C56" s="296">
        <v>1981.1489999999999</v>
      </c>
      <c r="E56" s="285" t="s">
        <v>184</v>
      </c>
      <c r="F56" s="297">
        <v>2853.4749999999999</v>
      </c>
      <c r="G56" s="298">
        <v>3435.6880000000001</v>
      </c>
    </row>
    <row r="57" spans="1:17" ht="13.8" thickBot="1">
      <c r="A57" s="285" t="s">
        <v>185</v>
      </c>
      <c r="B57" s="299">
        <v>850.13300000000004</v>
      </c>
      <c r="C57" s="300">
        <v>1082.7909999999999</v>
      </c>
      <c r="E57" s="285" t="s">
        <v>185</v>
      </c>
      <c r="F57" s="299">
        <v>1037.873</v>
      </c>
      <c r="G57" s="300">
        <v>1052.6669999999999</v>
      </c>
    </row>
    <row r="58" spans="1:17" ht="13.8" thickTop="1">
      <c r="A58" s="285"/>
      <c r="B58" s="304">
        <v>35342.614000000001</v>
      </c>
      <c r="C58" s="305">
        <v>38627.140999999989</v>
      </c>
      <c r="E58" s="303" t="s">
        <v>186</v>
      </c>
      <c r="F58" s="304">
        <v>37816.710999999996</v>
      </c>
      <c r="G58" s="305">
        <v>36563.050000000003</v>
      </c>
    </row>
    <row r="59" spans="1:17">
      <c r="A59" s="290" t="s">
        <v>187</v>
      </c>
      <c r="B59" s="306"/>
      <c r="C59" s="307"/>
      <c r="D59" s="293"/>
      <c r="E59" s="290" t="s">
        <v>187</v>
      </c>
      <c r="F59" s="291"/>
      <c r="G59" s="292"/>
    </row>
    <row r="60" spans="1:17">
      <c r="A60" s="285" t="s">
        <v>178</v>
      </c>
      <c r="B60" s="295">
        <v>213.90700000000001</v>
      </c>
      <c r="C60" s="296">
        <v>192.87700000000001</v>
      </c>
      <c r="E60" s="285" t="s">
        <v>178</v>
      </c>
      <c r="F60" s="297">
        <v>219.05500000000001</v>
      </c>
      <c r="G60" s="298">
        <v>242.16800000000001</v>
      </c>
    </row>
    <row r="61" spans="1:17">
      <c r="A61" s="285" t="s">
        <v>179</v>
      </c>
      <c r="B61" s="295">
        <v>3.403</v>
      </c>
      <c r="C61" s="296">
        <v>1.581</v>
      </c>
      <c r="E61" s="285" t="s">
        <v>179</v>
      </c>
      <c r="F61" s="297">
        <v>1.5309999999999999</v>
      </c>
      <c r="G61" s="298">
        <v>1.673</v>
      </c>
    </row>
    <row r="62" spans="1:17">
      <c r="A62" s="285" t="s">
        <v>182</v>
      </c>
      <c r="B62" s="295">
        <v>4495.0020000000004</v>
      </c>
      <c r="C62" s="296">
        <v>6326.9080000000004</v>
      </c>
      <c r="E62" s="285" t="s">
        <v>188</v>
      </c>
      <c r="F62" s="297">
        <v>0</v>
      </c>
      <c r="G62" s="298">
        <v>0</v>
      </c>
    </row>
    <row r="63" spans="1:17">
      <c r="A63" s="285" t="s">
        <v>189</v>
      </c>
      <c r="B63" s="295">
        <v>4560.808</v>
      </c>
      <c r="C63" s="296">
        <v>4727.7489999999998</v>
      </c>
      <c r="E63" s="285" t="s">
        <v>190</v>
      </c>
      <c r="F63" s="297">
        <v>11316.259</v>
      </c>
      <c r="G63" s="298">
        <v>11325.096</v>
      </c>
    </row>
    <row r="64" spans="1:17">
      <c r="A64" s="285" t="s">
        <v>183</v>
      </c>
      <c r="B64" s="295">
        <v>5695.8059999999996</v>
      </c>
      <c r="C64" s="296">
        <v>6005.3959999999997</v>
      </c>
      <c r="E64" s="285" t="s">
        <v>189</v>
      </c>
      <c r="F64" s="297">
        <v>6438.835</v>
      </c>
      <c r="G64" s="298">
        <v>7969.5919999999996</v>
      </c>
    </row>
    <row r="65" spans="1:18">
      <c r="A65" s="285" t="s">
        <v>185</v>
      </c>
      <c r="B65" s="295">
        <v>2141.596</v>
      </c>
      <c r="C65" s="296">
        <v>2063.2649999999999</v>
      </c>
      <c r="E65" s="285" t="s">
        <v>191</v>
      </c>
      <c r="F65" s="297">
        <v>1905.194</v>
      </c>
      <c r="G65" s="298">
        <v>1520.701</v>
      </c>
    </row>
    <row r="66" spans="1:18" ht="13.8" thickBot="1">
      <c r="A66" s="285" t="s">
        <v>192</v>
      </c>
      <c r="B66" s="295">
        <v>33.648000000000003</v>
      </c>
      <c r="C66" s="296">
        <v>27.85</v>
      </c>
      <c r="E66" s="285" t="s">
        <v>192</v>
      </c>
      <c r="F66" s="299">
        <v>56.582000000000001</v>
      </c>
      <c r="G66" s="300">
        <v>57.261000000000003</v>
      </c>
    </row>
    <row r="67" spans="1:18" ht="13.8" thickTop="1">
      <c r="A67" s="285" t="s">
        <v>193</v>
      </c>
      <c r="B67" s="295">
        <v>337.42700000000002</v>
      </c>
      <c r="C67" s="296">
        <v>305.18</v>
      </c>
      <c r="E67" s="290" t="s">
        <v>194</v>
      </c>
      <c r="F67" s="304">
        <v>19937.455999999998</v>
      </c>
      <c r="G67" s="305">
        <v>21116.491000000002</v>
      </c>
    </row>
    <row r="68" spans="1:18">
      <c r="A68" s="285" t="s">
        <v>55</v>
      </c>
      <c r="B68" s="295">
        <v>24768.355</v>
      </c>
      <c r="C68" s="296">
        <v>29224.260999999999</v>
      </c>
      <c r="E68" s="290" t="s">
        <v>193</v>
      </c>
      <c r="F68" s="308">
        <v>331.93900000000002</v>
      </c>
      <c r="G68" s="309">
        <v>289.06299999999999</v>
      </c>
    </row>
    <row r="69" spans="1:18">
      <c r="A69" s="285" t="s">
        <v>195</v>
      </c>
      <c r="B69" s="295">
        <v>7580.5559999999996</v>
      </c>
      <c r="C69" s="296">
        <v>8689.0149999999994</v>
      </c>
      <c r="E69" s="290" t="s">
        <v>55</v>
      </c>
      <c r="F69" s="308">
        <v>30055.69</v>
      </c>
      <c r="G69" s="309">
        <v>26630.155999999999</v>
      </c>
    </row>
    <row r="70" spans="1:18" ht="13.8" thickBot="1">
      <c r="A70" s="285" t="s">
        <v>196</v>
      </c>
      <c r="B70" s="310">
        <v>40023.457000000002</v>
      </c>
      <c r="C70" s="311">
        <v>42411.26</v>
      </c>
      <c r="E70" s="290" t="s">
        <v>195</v>
      </c>
      <c r="F70" s="308">
        <v>9222.2489999999998</v>
      </c>
      <c r="G70" s="309">
        <v>10041.733</v>
      </c>
    </row>
    <row r="71" spans="1:18" ht="14.4" thickTop="1" thickBot="1">
      <c r="A71" s="285"/>
      <c r="B71" s="301">
        <v>89853.964999999997</v>
      </c>
      <c r="C71" s="302">
        <v>99975.342000000004</v>
      </c>
      <c r="E71" s="290" t="s">
        <v>196</v>
      </c>
      <c r="F71" s="314">
        <v>40594.038</v>
      </c>
      <c r="G71" s="315">
        <v>38003.64</v>
      </c>
    </row>
    <row r="72" spans="1:18" ht="13.8" thickTop="1">
      <c r="A72" s="285"/>
      <c r="B72" s="312"/>
      <c r="C72" s="313"/>
      <c r="E72" s="285"/>
      <c r="F72" s="304">
        <v>100141.372</v>
      </c>
      <c r="G72" s="305">
        <v>96081.082999999999</v>
      </c>
    </row>
    <row r="73" spans="1:18" ht="13.8" thickBot="1">
      <c r="A73" s="290" t="s">
        <v>197</v>
      </c>
      <c r="B73" s="316">
        <v>125196.579</v>
      </c>
      <c r="C73" s="317">
        <v>138602.48300000001</v>
      </c>
      <c r="D73" s="293"/>
      <c r="E73" s="290" t="s">
        <v>197</v>
      </c>
      <c r="F73" s="320">
        <v>137958.08300000001</v>
      </c>
      <c r="G73" s="321">
        <v>132644.133</v>
      </c>
    </row>
    <row r="74" spans="1:18" ht="13.8" thickTop="1">
      <c r="A74" s="285"/>
      <c r="B74" s="286"/>
      <c r="C74" s="287"/>
      <c r="E74" s="285"/>
      <c r="F74" s="318"/>
      <c r="G74" s="319"/>
    </row>
    <row r="75" spans="1:18">
      <c r="A75" s="290" t="s">
        <v>198</v>
      </c>
      <c r="B75" s="291"/>
      <c r="C75" s="292"/>
      <c r="D75" s="293"/>
      <c r="E75" s="290" t="s">
        <v>201</v>
      </c>
      <c r="F75" s="304"/>
      <c r="G75" s="305"/>
    </row>
    <row r="76" spans="1:18">
      <c r="A76" s="290" t="s">
        <v>199</v>
      </c>
      <c r="B76" s="291"/>
      <c r="C76" s="292"/>
      <c r="D76" s="293"/>
      <c r="E76" s="290" t="s">
        <v>199</v>
      </c>
      <c r="F76" s="304"/>
      <c r="G76" s="305"/>
    </row>
    <row r="77" spans="1:18">
      <c r="A77" s="285" t="s">
        <v>200</v>
      </c>
      <c r="B77" s="295">
        <v>19339.223000000002</v>
      </c>
      <c r="C77" s="296">
        <v>25077.911</v>
      </c>
      <c r="E77" s="285" t="s">
        <v>200</v>
      </c>
      <c r="F77" s="297">
        <v>24328.528999999999</v>
      </c>
      <c r="G77" s="298">
        <v>23195.100999999999</v>
      </c>
      <c r="H77" s="288" t="s">
        <v>299</v>
      </c>
      <c r="I77" s="23" t="s">
        <v>58</v>
      </c>
      <c r="J77"/>
      <c r="K77"/>
      <c r="L77"/>
      <c r="M77" s="49"/>
      <c r="N77" s="44"/>
      <c r="O77" s="49"/>
      <c r="P77" s="49"/>
      <c r="Q77" s="49"/>
      <c r="R77" s="44"/>
    </row>
    <row r="78" spans="1:18">
      <c r="A78" s="285" t="s">
        <v>179</v>
      </c>
      <c r="B78" s="295">
        <v>329.76799999999997</v>
      </c>
      <c r="C78" s="296">
        <v>492.54599999999999</v>
      </c>
      <c r="E78" s="285" t="s">
        <v>180</v>
      </c>
      <c r="F78" s="297">
        <v>729.42399999999998</v>
      </c>
      <c r="G78" s="298">
        <v>751.36199999999997</v>
      </c>
      <c r="I78"/>
      <c r="J78" s="9" t="s">
        <v>59</v>
      </c>
      <c r="K78"/>
      <c r="L78"/>
      <c r="M78" s="24"/>
      <c r="N78" s="109">
        <f>B77+B80+B89</f>
        <v>20920.626</v>
      </c>
      <c r="O78" s="109">
        <f>C77+C80+C89</f>
        <v>28134.415000000001</v>
      </c>
      <c r="P78" s="109">
        <f>F77+F81+F89</f>
        <v>27173.781999999999</v>
      </c>
      <c r="Q78" s="109">
        <f>G77+G81+G89</f>
        <v>25630.947999999997</v>
      </c>
    </row>
    <row r="79" spans="1:18">
      <c r="A79" s="285" t="s">
        <v>202</v>
      </c>
      <c r="B79" s="295">
        <v>2738.7730000000001</v>
      </c>
      <c r="C79" s="296">
        <v>847.11800000000005</v>
      </c>
      <c r="E79" s="285" t="s">
        <v>202</v>
      </c>
      <c r="F79" s="297">
        <v>982.56899999999996</v>
      </c>
      <c r="G79" s="298">
        <v>1298.0909999999999</v>
      </c>
      <c r="H79" s="288" t="s">
        <v>300</v>
      </c>
      <c r="I79"/>
      <c r="J79" s="9" t="s">
        <v>60</v>
      </c>
      <c r="K79"/>
      <c r="L79"/>
      <c r="M79" s="24"/>
      <c r="N79" s="379">
        <f>B79+B91</f>
        <v>4792.2280000000001</v>
      </c>
      <c r="O79" s="379">
        <f>C79+C91</f>
        <v>3100.5239999999999</v>
      </c>
      <c r="P79" s="117">
        <f>F79+F80+F91</f>
        <v>3845.049</v>
      </c>
      <c r="Q79" s="117">
        <f>G79+G80+G91</f>
        <v>3501.0659999999998</v>
      </c>
    </row>
    <row r="80" spans="1:18">
      <c r="A80" s="285" t="s">
        <v>203</v>
      </c>
      <c r="B80" s="295">
        <v>925.53099999999995</v>
      </c>
      <c r="C80" s="296">
        <v>2439.4479999999999</v>
      </c>
      <c r="E80" s="285" t="s">
        <v>206</v>
      </c>
      <c r="F80" s="297">
        <v>74.343000000000004</v>
      </c>
      <c r="G80" s="298">
        <v>0</v>
      </c>
      <c r="H80" s="288" t="s">
        <v>300</v>
      </c>
      <c r="I80"/>
      <c r="J80" s="9" t="s">
        <v>8</v>
      </c>
      <c r="K80"/>
      <c r="L80"/>
      <c r="M80" s="24"/>
      <c r="N80" s="110">
        <f>B78+B81+B82+B83+B84+B90+B92+B93+B94+B95+B96+B97+B85</f>
        <v>24332.600999999995</v>
      </c>
      <c r="O80" s="110">
        <f>C78+C81+C82+C83+C84+C90+C92+C93+C94+C95+C96+C97+C85+30</f>
        <v>23349.413</v>
      </c>
      <c r="P80" s="110">
        <f>F78+F82+F83+F84+F85+F86+F90+F92+F93+F94+F95+F96+F97</f>
        <v>23611.424999999999</v>
      </c>
      <c r="Q80" s="110">
        <f>G78+G82+G83+G84+G85+G86+G90+G92+G93+G94+G95+G96+G97</f>
        <v>23368.317000000003</v>
      </c>
    </row>
    <row r="81" spans="1:18">
      <c r="A81" s="285" t="s">
        <v>204</v>
      </c>
      <c r="B81" s="295">
        <v>2454.741</v>
      </c>
      <c r="C81" s="296">
        <v>1425.0450000000001</v>
      </c>
      <c r="E81" s="285" t="s">
        <v>203</v>
      </c>
      <c r="F81" s="297">
        <v>2335.826</v>
      </c>
      <c r="G81" s="298">
        <v>2128.547</v>
      </c>
      <c r="H81" s="288" t="s">
        <v>299</v>
      </c>
      <c r="I81"/>
      <c r="J81" s="26" t="s">
        <v>77</v>
      </c>
      <c r="K81"/>
      <c r="L81"/>
      <c r="M81" s="29"/>
      <c r="N81" s="66">
        <f>SUBTOTAL(9,N78:N80)</f>
        <v>50045.454999999994</v>
      </c>
      <c r="O81" s="66">
        <f>SUBTOTAL(9,O78:O80)</f>
        <v>54584.351999999999</v>
      </c>
      <c r="P81" s="66">
        <f>SUBTOTAL(9,P78:P80)</f>
        <v>54630.255999999994</v>
      </c>
      <c r="Q81" s="66">
        <f>SUBTOTAL(9,Q78:Q80)</f>
        <v>52500.330999999998</v>
      </c>
    </row>
    <row r="82" spans="1:18">
      <c r="A82" s="285" t="s">
        <v>205</v>
      </c>
      <c r="B82" s="295">
        <v>1167.347</v>
      </c>
      <c r="C82" s="296">
        <v>1491.037</v>
      </c>
      <c r="E82" s="285" t="s">
        <v>204</v>
      </c>
      <c r="F82" s="297">
        <v>1464.8119999999999</v>
      </c>
      <c r="G82" s="298">
        <v>1526.1510000000001</v>
      </c>
      <c r="I82"/>
      <c r="J82"/>
      <c r="K82"/>
      <c r="L82"/>
      <c r="M82" s="49"/>
      <c r="N82" s="49"/>
      <c r="O82" s="49"/>
      <c r="P82" s="49"/>
      <c r="Q82" s="49"/>
      <c r="R82" s="44"/>
    </row>
    <row r="83" spans="1:18">
      <c r="A83" s="285" t="s">
        <v>207</v>
      </c>
      <c r="B83" s="295">
        <v>4549.5209999999997</v>
      </c>
      <c r="C83" s="296">
        <v>4585.9229999999998</v>
      </c>
      <c r="E83" s="285" t="s">
        <v>205</v>
      </c>
      <c r="F83" s="297">
        <v>1118.614</v>
      </c>
      <c r="G83" s="298">
        <v>1340.492</v>
      </c>
      <c r="I83"/>
      <c r="J83" s="23" t="s">
        <v>78</v>
      </c>
      <c r="K83"/>
      <c r="L83"/>
      <c r="M83" s="29"/>
      <c r="N83" s="118">
        <f>B109</f>
        <v>75151.123999999996</v>
      </c>
      <c r="O83" s="118">
        <f>C109</f>
        <v>84017.616999999998</v>
      </c>
      <c r="P83" s="118">
        <f>F109</f>
        <v>83327.827000000005</v>
      </c>
      <c r="Q83" s="118">
        <f>G109</f>
        <v>80143.801999999996</v>
      </c>
    </row>
    <row r="84" spans="1:18">
      <c r="A84" s="285" t="s">
        <v>208</v>
      </c>
      <c r="B84" s="295">
        <v>1848.1479999999999</v>
      </c>
      <c r="C84" s="296">
        <v>2304.5459999999998</v>
      </c>
      <c r="E84" s="285" t="s">
        <v>207</v>
      </c>
      <c r="F84" s="297">
        <v>5812.8720000000003</v>
      </c>
      <c r="G84" s="298">
        <v>6236.6260000000002</v>
      </c>
      <c r="I84"/>
      <c r="J84"/>
      <c r="K84"/>
      <c r="L84"/>
      <c r="M84" s="49"/>
      <c r="N84" s="44"/>
      <c r="O84" s="44"/>
      <c r="P84" s="44"/>
      <c r="Q84" s="44"/>
    </row>
    <row r="85" spans="1:18" ht="20.399999999999999" thickBot="1">
      <c r="A85" s="285" t="s">
        <v>209</v>
      </c>
      <c r="B85" s="310">
        <v>124.91200000000001</v>
      </c>
      <c r="C85" s="311">
        <v>172.31800000000001</v>
      </c>
      <c r="E85" s="285" t="s">
        <v>210</v>
      </c>
      <c r="F85" s="297">
        <v>3512.8220000000001</v>
      </c>
      <c r="G85" s="298">
        <v>4110.1379999999999</v>
      </c>
      <c r="I85"/>
      <c r="J85" s="23" t="s">
        <v>61</v>
      </c>
      <c r="K85"/>
      <c r="L85"/>
      <c r="M85" s="29"/>
      <c r="N85" s="116">
        <f>SUBTOTAL(9,N78:N83)</f>
        <v>125196.579</v>
      </c>
      <c r="O85" s="116">
        <f>SUBTOTAL(9,O78:O83)</f>
        <v>138601.96899999998</v>
      </c>
      <c r="P85" s="116">
        <f>SUBTOTAL(9,P78:P83)</f>
        <v>137958.08299999998</v>
      </c>
      <c r="Q85" s="116">
        <f>SUBTOTAL(9,Q78:Q83)</f>
        <v>132644.133</v>
      </c>
    </row>
    <row r="86" spans="1:18" ht="14.4" thickTop="1" thickBot="1">
      <c r="A86" s="285"/>
      <c r="B86" s="301">
        <v>33477.964</v>
      </c>
      <c r="C86" s="302">
        <v>38866.405999999995</v>
      </c>
      <c r="E86" s="285" t="s">
        <v>209</v>
      </c>
      <c r="F86" s="299">
        <v>180.727</v>
      </c>
      <c r="G86" s="300">
        <v>418.38900000000001</v>
      </c>
    </row>
    <row r="87" spans="1:18" ht="13.8" thickTop="1">
      <c r="A87" s="285"/>
      <c r="B87" s="286"/>
      <c r="C87" s="287"/>
      <c r="E87" s="290"/>
      <c r="F87" s="304">
        <v>40540.538</v>
      </c>
      <c r="G87" s="305">
        <v>41004.896999999997</v>
      </c>
    </row>
    <row r="88" spans="1:18">
      <c r="A88" s="290" t="s">
        <v>211</v>
      </c>
      <c r="B88" s="291"/>
      <c r="C88" s="292"/>
      <c r="E88" s="290" t="s">
        <v>211</v>
      </c>
      <c r="F88" s="304"/>
      <c r="G88" s="305"/>
    </row>
    <row r="89" spans="1:18">
      <c r="A89" s="285" t="s">
        <v>200</v>
      </c>
      <c r="B89" s="295">
        <v>655.87199999999996</v>
      </c>
      <c r="C89" s="296">
        <v>617.05600000000004</v>
      </c>
      <c r="D89" s="293"/>
      <c r="E89" s="285" t="s">
        <v>200</v>
      </c>
      <c r="F89" s="297">
        <v>509.42700000000002</v>
      </c>
      <c r="G89" s="298">
        <v>307.3</v>
      </c>
      <c r="H89" s="288" t="s">
        <v>299</v>
      </c>
    </row>
    <row r="90" spans="1:18">
      <c r="A90" s="285" t="s">
        <v>179</v>
      </c>
      <c r="B90" s="322">
        <v>0.02</v>
      </c>
      <c r="C90" s="296">
        <v>0</v>
      </c>
      <c r="E90" s="285" t="s">
        <v>179</v>
      </c>
      <c r="F90" s="297">
        <v>0</v>
      </c>
      <c r="G90" s="298">
        <v>11.643000000000001</v>
      </c>
    </row>
    <row r="91" spans="1:18">
      <c r="A91" s="285" t="s">
        <v>202</v>
      </c>
      <c r="B91" s="295">
        <v>2053.4549999999999</v>
      </c>
      <c r="C91" s="296">
        <v>2253.4059999999999</v>
      </c>
      <c r="E91" s="285" t="s">
        <v>202</v>
      </c>
      <c r="F91" s="297">
        <v>2788.1370000000002</v>
      </c>
      <c r="G91" s="298">
        <v>2202.9749999999999</v>
      </c>
      <c r="H91" s="288" t="s">
        <v>300</v>
      </c>
    </row>
    <row r="92" spans="1:18">
      <c r="A92" s="285" t="s">
        <v>189</v>
      </c>
      <c r="B92" s="295">
        <v>3043.3620000000001</v>
      </c>
      <c r="C92" s="296">
        <v>3213.9670000000001</v>
      </c>
      <c r="E92" s="285" t="s">
        <v>189</v>
      </c>
      <c r="F92" s="297">
        <v>3725.692</v>
      </c>
      <c r="G92" s="298">
        <v>3318.4479999999999</v>
      </c>
    </row>
    <row r="93" spans="1:18">
      <c r="A93" s="285" t="s">
        <v>205</v>
      </c>
      <c r="B93" s="295">
        <v>1912.6579999999999</v>
      </c>
      <c r="C93" s="296">
        <v>1686.925</v>
      </c>
      <c r="E93" s="285" t="s">
        <v>205</v>
      </c>
      <c r="F93" s="297">
        <v>1598.626</v>
      </c>
      <c r="G93" s="298">
        <v>1487.125</v>
      </c>
    </row>
    <row r="94" spans="1:18">
      <c r="A94" s="285" t="s">
        <v>207</v>
      </c>
      <c r="B94" s="295">
        <v>684.26</v>
      </c>
      <c r="C94" s="296">
        <v>704.16</v>
      </c>
      <c r="E94" s="285" t="s">
        <v>207</v>
      </c>
      <c r="F94" s="297">
        <v>670.97400000000005</v>
      </c>
      <c r="G94" s="298">
        <v>513.31500000000005</v>
      </c>
    </row>
    <row r="95" spans="1:18" ht="19.8">
      <c r="A95" s="285" t="s">
        <v>210</v>
      </c>
      <c r="B95" s="295">
        <v>4226.7309999999998</v>
      </c>
      <c r="C95" s="296">
        <v>3445.223</v>
      </c>
      <c r="E95" s="285" t="s">
        <v>210</v>
      </c>
      <c r="F95" s="297">
        <v>1896.758</v>
      </c>
      <c r="G95" s="298">
        <v>1083.221</v>
      </c>
    </row>
    <row r="96" spans="1:18">
      <c r="A96" s="285" t="s">
        <v>209</v>
      </c>
      <c r="B96" s="295">
        <v>447.08600000000001</v>
      </c>
      <c r="C96" s="296">
        <v>603.77200000000005</v>
      </c>
      <c r="E96" s="285" t="s">
        <v>209</v>
      </c>
      <c r="F96" s="297">
        <v>738.98199999999997</v>
      </c>
      <c r="G96" s="298">
        <v>559.61400000000003</v>
      </c>
    </row>
    <row r="97" spans="1:7" ht="13.8" thickBot="1">
      <c r="A97" s="285" t="s">
        <v>192</v>
      </c>
      <c r="B97" s="310">
        <v>3544.047</v>
      </c>
      <c r="C97" s="311">
        <v>3193.951</v>
      </c>
      <c r="E97" s="285" t="s">
        <v>192</v>
      </c>
      <c r="F97" s="299">
        <v>2161.1219999999998</v>
      </c>
      <c r="G97" s="300">
        <v>2011.7929999999999</v>
      </c>
    </row>
    <row r="98" spans="1:7" ht="13.8" thickTop="1">
      <c r="A98" s="285"/>
      <c r="B98" s="323">
        <v>16567.491000000002</v>
      </c>
      <c r="C98" s="324">
        <v>15718.460000000003</v>
      </c>
      <c r="E98" s="290"/>
      <c r="F98" s="325">
        <v>14089.717999999999</v>
      </c>
      <c r="G98" s="326">
        <v>11495.433999999999</v>
      </c>
    </row>
    <row r="99" spans="1:7">
      <c r="A99" s="285"/>
      <c r="B99" s="312"/>
      <c r="C99" s="313"/>
    </row>
    <row r="100" spans="1:7" ht="13.8" thickBot="1">
      <c r="A100" s="290" t="s">
        <v>212</v>
      </c>
      <c r="B100" s="316">
        <v>50045.455000000002</v>
      </c>
      <c r="C100" s="317">
        <v>54584.866000000002</v>
      </c>
      <c r="E100" s="290" t="s">
        <v>212</v>
      </c>
      <c r="F100" s="320">
        <v>54630.256000000001</v>
      </c>
      <c r="G100" s="321">
        <v>52500.330999999998</v>
      </c>
    </row>
    <row r="101" spans="1:7" ht="13.8" thickTop="1">
      <c r="A101" s="285"/>
      <c r="B101" s="286"/>
      <c r="C101" s="287"/>
      <c r="D101" s="293"/>
    </row>
    <row r="102" spans="1:7">
      <c r="A102" s="290" t="s">
        <v>213</v>
      </c>
      <c r="B102" s="291"/>
      <c r="C102" s="292"/>
      <c r="E102" s="290" t="s">
        <v>213</v>
      </c>
      <c r="F102" s="304"/>
      <c r="G102" s="305"/>
    </row>
    <row r="103" spans="1:7">
      <c r="A103" s="285" t="s">
        <v>214</v>
      </c>
      <c r="B103" s="295">
        <v>57899.072999999997</v>
      </c>
      <c r="C103" s="296">
        <v>58042.464</v>
      </c>
      <c r="D103" s="293"/>
      <c r="E103" s="285" t="s">
        <v>214</v>
      </c>
      <c r="F103" s="297">
        <v>58130.517</v>
      </c>
      <c r="G103" s="298">
        <v>58177.928999999996</v>
      </c>
    </row>
    <row r="104" spans="1:7">
      <c r="A104" s="285" t="s">
        <v>215</v>
      </c>
      <c r="B104" s="295">
        <v>80905.572</v>
      </c>
      <c r="C104" s="296">
        <v>86378.827999999994</v>
      </c>
      <c r="E104" s="285" t="s">
        <v>215</v>
      </c>
      <c r="F104" s="297">
        <v>92246.593999999997</v>
      </c>
      <c r="G104" s="298">
        <v>98669.403999999995</v>
      </c>
    </row>
    <row r="105" spans="1:7">
      <c r="A105" s="285" t="s">
        <v>216</v>
      </c>
      <c r="B105" s="295">
        <v>-64989.017</v>
      </c>
      <c r="C105" s="296">
        <v>-61778.260999999999</v>
      </c>
      <c r="E105" s="285" t="s">
        <v>216</v>
      </c>
      <c r="F105" s="297">
        <v>-68421.478000000003</v>
      </c>
      <c r="G105" s="298">
        <v>-77878.043000000005</v>
      </c>
    </row>
    <row r="106" spans="1:7">
      <c r="A106" s="285" t="s">
        <v>217</v>
      </c>
      <c r="B106" s="295">
        <v>0</v>
      </c>
      <c r="C106" s="296">
        <v>0</v>
      </c>
      <c r="E106" s="285" t="s">
        <v>217</v>
      </c>
      <c r="F106" s="297">
        <v>0</v>
      </c>
      <c r="G106" s="298">
        <v>0</v>
      </c>
    </row>
    <row r="107" spans="1:7">
      <c r="A107" s="290" t="s">
        <v>218</v>
      </c>
      <c r="B107" s="327">
        <v>73815.627999999997</v>
      </c>
      <c r="C107" s="328">
        <v>82643.031000000003</v>
      </c>
      <c r="E107" s="290" t="s">
        <v>218</v>
      </c>
      <c r="F107" s="308">
        <v>81955.633000000002</v>
      </c>
      <c r="G107" s="309">
        <v>78969.289999999994</v>
      </c>
    </row>
    <row r="108" spans="1:7" ht="13.8" thickBot="1">
      <c r="A108" s="285" t="s">
        <v>219</v>
      </c>
      <c r="B108" s="310">
        <v>1335.4960000000001</v>
      </c>
      <c r="C108" s="311">
        <v>1374.586</v>
      </c>
      <c r="D108" s="293"/>
      <c r="E108" s="285" t="s">
        <v>219</v>
      </c>
      <c r="F108" s="299">
        <v>1372.194</v>
      </c>
      <c r="G108" s="300">
        <v>1174.5119999999999</v>
      </c>
    </row>
    <row r="109" spans="1:7" ht="13.8" thickTop="1">
      <c r="A109" s="290" t="s">
        <v>220</v>
      </c>
      <c r="B109" s="323">
        <v>75151.123999999996</v>
      </c>
      <c r="C109" s="324">
        <v>84017.616999999998</v>
      </c>
      <c r="E109" s="290" t="s">
        <v>220</v>
      </c>
      <c r="F109" s="325">
        <v>83327.827000000005</v>
      </c>
      <c r="G109" s="326">
        <v>80143.801999999996</v>
      </c>
    </row>
    <row r="110" spans="1:7">
      <c r="A110" s="285"/>
      <c r="B110" s="312"/>
      <c r="C110" s="313"/>
      <c r="D110" s="293"/>
    </row>
    <row r="111" spans="1:7" ht="13.8" thickBot="1">
      <c r="A111" s="290" t="s">
        <v>221</v>
      </c>
      <c r="B111" s="316">
        <v>125196.579</v>
      </c>
      <c r="C111" s="317">
        <v>138602.48300000001</v>
      </c>
      <c r="E111" s="290" t="s">
        <v>221</v>
      </c>
      <c r="F111" s="316">
        <v>137958.08300000001</v>
      </c>
      <c r="G111" s="317">
        <v>132644.133</v>
      </c>
    </row>
    <row r="112" spans="1:7" ht="13.8" thickTop="1">
      <c r="B112" s="329"/>
      <c r="C112" s="329"/>
    </row>
    <row r="113" spans="1:17">
      <c r="B113" s="329"/>
      <c r="C113" s="329"/>
    </row>
    <row r="114" spans="1:17">
      <c r="B114" s="329"/>
      <c r="C114" s="329"/>
    </row>
    <row r="118" spans="1:17">
      <c r="A118" s="330" t="s">
        <v>251</v>
      </c>
      <c r="B118" s="404" t="s">
        <v>223</v>
      </c>
      <c r="C118" s="405" t="s">
        <v>224</v>
      </c>
      <c r="E118" s="331" t="s">
        <v>251</v>
      </c>
      <c r="F118" s="404" t="s">
        <v>225</v>
      </c>
      <c r="G118" s="405" t="s">
        <v>226</v>
      </c>
      <c r="I118" t="s">
        <v>48</v>
      </c>
      <c r="J118"/>
      <c r="K118"/>
      <c r="L118"/>
      <c r="M118" s="48"/>
      <c r="N118" s="108">
        <f>SUM(B136:B138)</f>
        <v>897.56999999999971</v>
      </c>
      <c r="O118" s="108">
        <f t="shared" ref="O118" si="0">SUM(C136:C138)</f>
        <v>2999.4590000000003</v>
      </c>
      <c r="P118" s="108">
        <f>SUM(F136:F138)</f>
        <v>-2683.9089999999997</v>
      </c>
      <c r="Q118" s="108">
        <f>SUM(G136:G138)</f>
        <v>-296.21799999999996</v>
      </c>
    </row>
    <row r="119" spans="1:17">
      <c r="A119" s="332" t="s">
        <v>171</v>
      </c>
      <c r="B119" s="404"/>
      <c r="C119" s="405"/>
      <c r="E119" s="333" t="s">
        <v>171</v>
      </c>
      <c r="F119" s="404">
        <v>0</v>
      </c>
      <c r="G119" s="405">
        <v>0</v>
      </c>
    </row>
    <row r="120" spans="1:17">
      <c r="A120" s="285"/>
      <c r="B120" s="286"/>
      <c r="C120" s="287"/>
      <c r="E120" s="289">
        <v>0</v>
      </c>
    </row>
    <row r="121" spans="1:17">
      <c r="A121" s="290" t="s">
        <v>241</v>
      </c>
      <c r="B121" s="327">
        <v>11731.909</v>
      </c>
      <c r="C121" s="328">
        <v>13122.582</v>
      </c>
      <c r="D121" s="293"/>
      <c r="E121" s="290" t="s">
        <v>241</v>
      </c>
      <c r="F121" s="308">
        <v>14891.290999999999</v>
      </c>
      <c r="G121" s="309">
        <v>14960.459000000001</v>
      </c>
    </row>
    <row r="122" spans="1:17">
      <c r="A122" s="366" t="s">
        <v>252</v>
      </c>
      <c r="B122" s="295">
        <v>5167.3500000000004</v>
      </c>
      <c r="C122" s="296">
        <v>5396.6869999999999</v>
      </c>
      <c r="E122" s="366" t="s">
        <v>252</v>
      </c>
      <c r="F122" s="297">
        <v>5956.25</v>
      </c>
      <c r="G122" s="298">
        <v>6417.9120000000003</v>
      </c>
    </row>
    <row r="123" spans="1:17" ht="19.8">
      <c r="A123" s="366" t="s">
        <v>253</v>
      </c>
      <c r="B123" s="295">
        <v>296.14</v>
      </c>
      <c r="C123" s="296">
        <v>200.773</v>
      </c>
      <c r="E123" s="366" t="s">
        <v>254</v>
      </c>
      <c r="F123" s="297">
        <v>351.80799999999999</v>
      </c>
      <c r="G123" s="298">
        <v>358.399</v>
      </c>
    </row>
    <row r="124" spans="1:17" ht="19.8">
      <c r="A124" s="366" t="s">
        <v>255</v>
      </c>
      <c r="B124" s="295">
        <v>239.69</v>
      </c>
      <c r="C124" s="296">
        <v>244.58099999999999</v>
      </c>
      <c r="E124" s="366" t="s">
        <v>255</v>
      </c>
      <c r="F124" s="297">
        <v>232.739</v>
      </c>
      <c r="G124" s="298">
        <v>233.80600000000001</v>
      </c>
    </row>
    <row r="125" spans="1:17">
      <c r="A125" s="366" t="s">
        <v>237</v>
      </c>
      <c r="B125" s="295">
        <v>2434.4490000000001</v>
      </c>
      <c r="C125" s="296">
        <v>3205.3649999999998</v>
      </c>
      <c r="E125" s="366" t="s">
        <v>237</v>
      </c>
      <c r="F125" s="297">
        <v>3423.17</v>
      </c>
      <c r="G125" s="298">
        <v>3609.752</v>
      </c>
    </row>
    <row r="126" spans="1:17">
      <c r="A126" s="366" t="s">
        <v>256</v>
      </c>
      <c r="B126" s="295">
        <v>-78.762</v>
      </c>
      <c r="C126" s="296">
        <v>-142.809</v>
      </c>
      <c r="E126" s="366" t="s">
        <v>256</v>
      </c>
      <c r="F126" s="297">
        <v>-88.763999999999996</v>
      </c>
      <c r="G126" s="298">
        <v>-86.356999999999999</v>
      </c>
    </row>
    <row r="127" spans="1:17">
      <c r="A127" s="366" t="s">
        <v>257</v>
      </c>
      <c r="B127" s="295">
        <v>208.709</v>
      </c>
      <c r="C127" s="296">
        <v>387.61099999999999</v>
      </c>
      <c r="E127" s="366" t="s">
        <v>258</v>
      </c>
      <c r="F127" s="297">
        <v>0</v>
      </c>
      <c r="G127" s="298">
        <v>0</v>
      </c>
    </row>
    <row r="128" spans="1:17">
      <c r="A128" s="366" t="s">
        <v>259</v>
      </c>
      <c r="B128" s="295">
        <v>1762.5319999999999</v>
      </c>
      <c r="C128" s="296">
        <v>636.57799999999997</v>
      </c>
      <c r="E128" s="366" t="s">
        <v>260</v>
      </c>
      <c r="F128" s="297">
        <v>0</v>
      </c>
      <c r="G128" s="298">
        <v>0</v>
      </c>
    </row>
    <row r="129" spans="1:7" ht="19.8">
      <c r="A129" s="366" t="s">
        <v>261</v>
      </c>
      <c r="B129" s="295">
        <v>43.283999999999999</v>
      </c>
      <c r="C129" s="296">
        <v>115.703</v>
      </c>
      <c r="E129" s="366" t="s">
        <v>262</v>
      </c>
      <c r="F129" s="297">
        <v>0</v>
      </c>
      <c r="G129" s="298">
        <v>0</v>
      </c>
    </row>
    <row r="130" spans="1:7">
      <c r="A130" s="366" t="s">
        <v>263</v>
      </c>
      <c r="B130" s="295">
        <v>-1769.893</v>
      </c>
      <c r="C130" s="296">
        <v>-1852.367</v>
      </c>
      <c r="E130" s="366" t="s">
        <v>257</v>
      </c>
      <c r="F130" s="297">
        <v>313.86900000000003</v>
      </c>
      <c r="G130" s="298">
        <v>331.61799999999999</v>
      </c>
    </row>
    <row r="131" spans="1:7">
      <c r="D131" s="293"/>
      <c r="E131" s="366" t="s">
        <v>259</v>
      </c>
      <c r="F131" s="297">
        <v>-655.62099999999998</v>
      </c>
      <c r="G131" s="298">
        <v>75.480999999999995</v>
      </c>
    </row>
    <row r="132" spans="1:7" ht="19.8">
      <c r="E132" s="366" t="s">
        <v>261</v>
      </c>
      <c r="F132" s="297">
        <v>29.106000000000002</v>
      </c>
      <c r="G132" s="298">
        <v>185.40600000000001</v>
      </c>
    </row>
    <row r="133" spans="1:7">
      <c r="E133" s="366" t="s">
        <v>267</v>
      </c>
      <c r="F133" s="297">
        <v>-466.62599999999998</v>
      </c>
      <c r="G133" s="298">
        <v>-37.954000000000001</v>
      </c>
    </row>
    <row r="134" spans="1:7">
      <c r="E134" s="366" t="s">
        <v>263</v>
      </c>
      <c r="F134" s="297">
        <v>-17.344000000000001</v>
      </c>
      <c r="G134" s="298">
        <v>-9.0299999999999994</v>
      </c>
    </row>
    <row r="135" spans="1:7" ht="19.8">
      <c r="A135" s="290" t="s">
        <v>264</v>
      </c>
      <c r="B135" s="327">
        <v>20035.407999999999</v>
      </c>
      <c r="C135" s="328">
        <v>21314.704000000002</v>
      </c>
      <c r="D135" s="293"/>
      <c r="E135" s="290" t="s">
        <v>264</v>
      </c>
      <c r="F135" s="308">
        <v>23969.878000000001</v>
      </c>
      <c r="G135" s="309">
        <v>26039.491999999998</v>
      </c>
    </row>
    <row r="136" spans="1:7" ht="19.8">
      <c r="A136" s="366" t="s">
        <v>265</v>
      </c>
      <c r="B136" s="295">
        <v>-848.78800000000001</v>
      </c>
      <c r="C136" s="296">
        <v>341.428</v>
      </c>
      <c r="E136" s="366" t="s">
        <v>265</v>
      </c>
      <c r="F136" s="297">
        <v>-322.51</v>
      </c>
      <c r="G136" s="298">
        <v>-1373.883</v>
      </c>
    </row>
    <row r="137" spans="1:7">
      <c r="A137" s="366" t="s">
        <v>266</v>
      </c>
      <c r="B137" s="295">
        <v>-1303.432</v>
      </c>
      <c r="C137" s="296">
        <v>-3499.4659999999999</v>
      </c>
      <c r="E137" s="366" t="s">
        <v>266</v>
      </c>
      <c r="F137" s="297">
        <v>-3088.0149999999999</v>
      </c>
      <c r="G137" s="298">
        <v>1300.7660000000001</v>
      </c>
    </row>
    <row r="138" spans="1:7" ht="19.8">
      <c r="A138" s="366" t="s">
        <v>268</v>
      </c>
      <c r="B138" s="295">
        <v>3049.79</v>
      </c>
      <c r="C138" s="296">
        <v>6157.4970000000003</v>
      </c>
      <c r="E138" s="366" t="s">
        <v>268</v>
      </c>
      <c r="F138" s="297">
        <v>726.61599999999999</v>
      </c>
      <c r="G138" s="298">
        <v>-223.101</v>
      </c>
    </row>
    <row r="139" spans="1:7">
      <c r="A139" s="290" t="s">
        <v>269</v>
      </c>
      <c r="B139" s="327">
        <v>20932.977999999999</v>
      </c>
      <c r="C139" s="328">
        <v>24314.163</v>
      </c>
      <c r="E139" s="290" t="s">
        <v>269</v>
      </c>
      <c r="F139" s="308">
        <v>21285.969000000001</v>
      </c>
      <c r="G139" s="309">
        <v>25743.274000000001</v>
      </c>
    </row>
    <row r="140" spans="1:7">
      <c r="A140" s="366" t="s">
        <v>270</v>
      </c>
      <c r="B140" s="295">
        <v>-768.78499999999997</v>
      </c>
      <c r="C140" s="296">
        <v>-498.24299999999999</v>
      </c>
      <c r="D140" s="293"/>
      <c r="E140" s="366" t="s">
        <v>270</v>
      </c>
      <c r="F140" s="297">
        <v>-826.34</v>
      </c>
      <c r="G140" s="298">
        <v>-666.11900000000003</v>
      </c>
    </row>
    <row r="141" spans="1:7">
      <c r="A141" s="366" t="s">
        <v>271</v>
      </c>
      <c r="B141" s="295">
        <v>320.29599999999999</v>
      </c>
      <c r="C141" s="296">
        <v>377.06</v>
      </c>
      <c r="D141" s="293"/>
      <c r="E141" s="366" t="s">
        <v>271</v>
      </c>
      <c r="F141" s="297">
        <v>1094.96</v>
      </c>
      <c r="G141" s="298">
        <v>1248.2829999999999</v>
      </c>
    </row>
    <row r="142" spans="1:7">
      <c r="A142" s="366" t="s">
        <v>272</v>
      </c>
      <c r="B142" s="295">
        <v>13.752000000000001</v>
      </c>
      <c r="C142" s="296">
        <v>13.05</v>
      </c>
      <c r="E142" s="366" t="s">
        <v>272</v>
      </c>
      <c r="F142" s="297">
        <v>6.5670000000000002</v>
      </c>
      <c r="G142" s="298">
        <v>12.949</v>
      </c>
    </row>
    <row r="143" spans="1:7" ht="13.8" thickBot="1">
      <c r="A143" s="366" t="s">
        <v>273</v>
      </c>
      <c r="B143" s="310">
        <v>-1642.461</v>
      </c>
      <c r="C143" s="311">
        <v>-1305.079</v>
      </c>
      <c r="E143" s="366" t="s">
        <v>273</v>
      </c>
      <c r="F143" s="299">
        <v>-919.00300000000004</v>
      </c>
      <c r="G143" s="300">
        <v>-1626.9580000000001</v>
      </c>
    </row>
    <row r="144" spans="1:7" ht="13.8" thickTop="1">
      <c r="A144" s="290" t="s">
        <v>274</v>
      </c>
      <c r="B144" s="327">
        <v>18855.78</v>
      </c>
      <c r="C144" s="328">
        <v>22900.951000000001</v>
      </c>
      <c r="E144" s="290" t="s">
        <v>274</v>
      </c>
      <c r="F144" s="308">
        <v>20642.152999999998</v>
      </c>
      <c r="G144" s="309">
        <v>24711.429</v>
      </c>
    </row>
    <row r="145" spans="1:15">
      <c r="A145" s="290"/>
      <c r="B145" s="327"/>
      <c r="C145" s="328"/>
      <c r="E145" s="290"/>
      <c r="F145" s="308"/>
      <c r="G145" s="309"/>
    </row>
    <row r="146" spans="1:15">
      <c r="A146" s="366" t="s">
        <v>275</v>
      </c>
      <c r="B146" s="295">
        <v>108.015</v>
      </c>
      <c r="C146" s="296">
        <v>301.73899999999998</v>
      </c>
      <c r="E146" s="366" t="s">
        <v>275</v>
      </c>
      <c r="F146" s="297">
        <v>133.935</v>
      </c>
      <c r="G146" s="298">
        <v>154.13999999999999</v>
      </c>
    </row>
    <row r="147" spans="1:15">
      <c r="A147" s="366" t="s">
        <v>276</v>
      </c>
      <c r="B147" s="295">
        <v>0</v>
      </c>
      <c r="C147" s="296">
        <v>0.54200000000000004</v>
      </c>
      <c r="E147" s="366" t="s">
        <v>276</v>
      </c>
      <c r="F147" s="297">
        <v>0</v>
      </c>
      <c r="G147" s="298">
        <v>0</v>
      </c>
    </row>
    <row r="148" spans="1:15">
      <c r="A148" s="366" t="s">
        <v>277</v>
      </c>
      <c r="B148" s="295">
        <v>-4692.6949999999997</v>
      </c>
      <c r="C148" s="296">
        <v>-7677.1130000000003</v>
      </c>
      <c r="E148" s="366" t="s">
        <v>277</v>
      </c>
      <c r="F148" s="297">
        <v>-6533.0630000000001</v>
      </c>
      <c r="G148" s="298">
        <v>-6004.0990000000002</v>
      </c>
    </row>
    <row r="149" spans="1:15">
      <c r="A149" s="366" t="s">
        <v>278</v>
      </c>
      <c r="B149" s="295">
        <v>-431.50700000000001</v>
      </c>
      <c r="C149" s="296">
        <v>-133.785</v>
      </c>
      <c r="D149" s="293"/>
      <c r="E149" s="366" t="s">
        <v>278</v>
      </c>
      <c r="F149" s="297">
        <v>-2.964</v>
      </c>
      <c r="G149" s="298">
        <v>-46.529000000000003</v>
      </c>
    </row>
    <row r="150" spans="1:15">
      <c r="A150" s="366" t="s">
        <v>279</v>
      </c>
      <c r="B150" s="295">
        <v>-19.076000000000001</v>
      </c>
      <c r="C150" s="296">
        <v>-5.2629999999999999</v>
      </c>
      <c r="D150" s="293"/>
      <c r="E150" s="366" t="s">
        <v>279</v>
      </c>
      <c r="F150" s="297">
        <v>-29.998999999999999</v>
      </c>
      <c r="G150" s="298">
        <v>-6.3129999999999997</v>
      </c>
    </row>
    <row r="151" spans="1:15">
      <c r="A151" s="366" t="s">
        <v>280</v>
      </c>
      <c r="B151" s="295">
        <v>-1764.308</v>
      </c>
      <c r="C151" s="296">
        <v>-236.00700000000001</v>
      </c>
      <c r="E151" s="366" t="s">
        <v>280</v>
      </c>
      <c r="F151" s="297">
        <v>1412.952</v>
      </c>
      <c r="G151" s="298">
        <v>136.417</v>
      </c>
    </row>
    <row r="152" spans="1:15" ht="13.8" thickBot="1">
      <c r="A152" s="366" t="s">
        <v>281</v>
      </c>
      <c r="B152" s="310">
        <v>0</v>
      </c>
      <c r="C152" s="311">
        <v>15.005000000000001</v>
      </c>
      <c r="E152" s="366" t="s">
        <v>281</v>
      </c>
      <c r="F152" s="299">
        <v>15</v>
      </c>
      <c r="G152" s="300">
        <v>0.4</v>
      </c>
    </row>
    <row r="153" spans="1:15" ht="13.8" thickTop="1">
      <c r="A153" s="290" t="s">
        <v>282</v>
      </c>
      <c r="B153" s="327">
        <v>-6799.5709999999999</v>
      </c>
      <c r="C153" s="328">
        <v>-7734.8819999999996</v>
      </c>
      <c r="E153" s="290" t="s">
        <v>282</v>
      </c>
      <c r="F153" s="308">
        <v>-5004.1390000000001</v>
      </c>
      <c r="G153" s="309">
        <v>-5765.9840000000004</v>
      </c>
      <c r="I153" t="s">
        <v>4</v>
      </c>
      <c r="J153"/>
      <c r="L153" s="109">
        <f>B148+B149</f>
        <v>-5124.2019999999993</v>
      </c>
      <c r="M153" s="109">
        <f>C148+C149</f>
        <v>-7810.8980000000001</v>
      </c>
      <c r="N153" s="109">
        <f>F148+F149</f>
        <v>-6536.027</v>
      </c>
      <c r="O153" s="109">
        <f>G148+G149</f>
        <v>-6050.6280000000006</v>
      </c>
    </row>
    <row r="154" spans="1:15">
      <c r="A154" s="290"/>
      <c r="B154" s="327"/>
      <c r="C154" s="328"/>
      <c r="E154" s="290"/>
      <c r="F154" s="308"/>
      <c r="G154" s="309"/>
    </row>
    <row r="155" spans="1:15">
      <c r="A155" s="366" t="s">
        <v>283</v>
      </c>
      <c r="B155" s="295">
        <v>0</v>
      </c>
      <c r="C155" s="296">
        <v>9.0939999999999994</v>
      </c>
      <c r="E155" s="366" t="s">
        <v>283</v>
      </c>
      <c r="F155" s="297">
        <v>23.763999999999999</v>
      </c>
      <c r="G155" s="298">
        <v>14.542999999999999</v>
      </c>
      <c r="I155" t="s">
        <v>29</v>
      </c>
      <c r="J155"/>
      <c r="K155"/>
      <c r="L155" s="109">
        <f>B159+B160</f>
        <v>1724.9839999999999</v>
      </c>
      <c r="M155" s="109">
        <v>-2537.2829999999999</v>
      </c>
      <c r="N155" s="109">
        <v>-194.04800000000023</v>
      </c>
      <c r="O155" s="109">
        <v>-1406.623</v>
      </c>
    </row>
    <row r="156" spans="1:15">
      <c r="A156" s="366" t="s">
        <v>284</v>
      </c>
      <c r="B156" s="295">
        <v>0.65900000000000003</v>
      </c>
      <c r="C156" s="296">
        <v>0</v>
      </c>
      <c r="E156" s="366" t="s">
        <v>284</v>
      </c>
      <c r="F156" s="297">
        <v>0</v>
      </c>
      <c r="G156" s="298">
        <v>0</v>
      </c>
      <c r="I156" t="s">
        <v>27</v>
      </c>
      <c r="J156"/>
      <c r="K156"/>
      <c r="L156" s="109">
        <f>B157</f>
        <v>-7.3949999999999996</v>
      </c>
      <c r="M156" s="109">
        <f>C157</f>
        <v>-44.164999999999999</v>
      </c>
      <c r="N156" s="109">
        <f>F157</f>
        <v>-54.082000000000001</v>
      </c>
      <c r="O156" s="109">
        <f>G157</f>
        <v>-118.989</v>
      </c>
    </row>
    <row r="157" spans="1:15">
      <c r="A157" s="366" t="s">
        <v>285</v>
      </c>
      <c r="B157" s="295">
        <v>-7.3949999999999996</v>
      </c>
      <c r="C157" s="296">
        <v>-44.164999999999999</v>
      </c>
      <c r="E157" s="366" t="s">
        <v>285</v>
      </c>
      <c r="F157" s="297">
        <v>-54.082000000000001</v>
      </c>
      <c r="G157" s="298">
        <v>-118.989</v>
      </c>
      <c r="I157" t="s">
        <v>50</v>
      </c>
      <c r="J157"/>
      <c r="K157"/>
      <c r="L157" s="110">
        <f>B163</f>
        <v>-6850.2709999999997</v>
      </c>
      <c r="M157" s="110">
        <f>C163</f>
        <v>-11115.251</v>
      </c>
      <c r="N157" s="110">
        <f>F163</f>
        <v>-12242.324000000001</v>
      </c>
      <c r="O157" s="110">
        <f>G163</f>
        <v>-11921.949000000001</v>
      </c>
    </row>
    <row r="158" spans="1:15">
      <c r="E158" s="366" t="s">
        <v>291</v>
      </c>
      <c r="F158" s="297">
        <v>-5.7000000000000002E-2</v>
      </c>
      <c r="G158" s="298">
        <v>0</v>
      </c>
    </row>
    <row r="159" spans="1:15">
      <c r="A159" s="366" t="s">
        <v>286</v>
      </c>
      <c r="B159" s="295">
        <v>3767.8589999999999</v>
      </c>
      <c r="C159" s="296">
        <v>315.226</v>
      </c>
      <c r="D159" s="293"/>
      <c r="E159" s="366" t="s">
        <v>286</v>
      </c>
      <c r="F159" s="297">
        <v>274.85700000000003</v>
      </c>
      <c r="G159" s="298">
        <v>49.78</v>
      </c>
    </row>
    <row r="160" spans="1:15">
      <c r="A160" s="366" t="s">
        <v>287</v>
      </c>
      <c r="B160" s="295">
        <v>-2042.875</v>
      </c>
      <c r="C160" s="296">
        <v>-2453.953</v>
      </c>
      <c r="D160" s="293"/>
      <c r="E160" s="366" t="s">
        <v>287</v>
      </c>
      <c r="F160" s="297">
        <v>-230.214</v>
      </c>
      <c r="G160" s="298">
        <v>-227.42500000000001</v>
      </c>
    </row>
    <row r="161" spans="1:7">
      <c r="A161" s="366" t="s">
        <v>288</v>
      </c>
      <c r="B161" s="295">
        <v>-2971.4870000000001</v>
      </c>
      <c r="C161" s="296">
        <v>-2089.569</v>
      </c>
      <c r="D161" s="293"/>
      <c r="E161" s="366" t="s">
        <v>288</v>
      </c>
      <c r="F161" s="297">
        <v>-3255.11</v>
      </c>
      <c r="G161" s="298">
        <v>-2731.069</v>
      </c>
    </row>
    <row r="162" spans="1:7">
      <c r="A162" s="366" t="s">
        <v>289</v>
      </c>
      <c r="B162" s="295">
        <v>-498.48500000000001</v>
      </c>
      <c r="C162" s="296">
        <v>-663.20500000000004</v>
      </c>
      <c r="D162" s="293"/>
      <c r="E162" s="366" t="s">
        <v>289</v>
      </c>
      <c r="F162" s="297">
        <v>-854.74</v>
      </c>
      <c r="G162" s="298">
        <v>-1180.098</v>
      </c>
    </row>
    <row r="163" spans="1:7" ht="13.8" thickBot="1">
      <c r="A163" s="366" t="s">
        <v>290</v>
      </c>
      <c r="B163" s="310">
        <v>-6850.2709999999997</v>
      </c>
      <c r="C163" s="311">
        <v>-11115.251</v>
      </c>
      <c r="D163" s="293"/>
      <c r="E163" s="366" t="s">
        <v>290</v>
      </c>
      <c r="F163" s="299">
        <v>-12242.324000000001</v>
      </c>
      <c r="G163" s="300">
        <v>-11921.949000000001</v>
      </c>
    </row>
    <row r="164" spans="1:7" ht="13.8" thickTop="1">
      <c r="A164" s="290" t="s">
        <v>292</v>
      </c>
      <c r="B164" s="327">
        <v>-8601.9950000000008</v>
      </c>
      <c r="C164" s="328">
        <v>-16041.823</v>
      </c>
      <c r="D164" s="293"/>
      <c r="E164" s="290" t="s">
        <v>292</v>
      </c>
      <c r="F164" s="308">
        <v>-16337.906000000001</v>
      </c>
      <c r="G164" s="309">
        <v>-16115.207</v>
      </c>
    </row>
    <row r="165" spans="1:7">
      <c r="A165" s="367"/>
      <c r="B165" s="368"/>
      <c r="C165" s="369"/>
      <c r="E165" s="367"/>
      <c r="F165" s="370"/>
      <c r="G165" s="371"/>
    </row>
    <row r="166" spans="1:7" ht="19.8">
      <c r="A166" s="290" t="s">
        <v>293</v>
      </c>
      <c r="B166" s="327">
        <v>3454.2139999999999</v>
      </c>
      <c r="C166" s="328">
        <v>-875.75400000000002</v>
      </c>
      <c r="E166" s="290" t="s">
        <v>293</v>
      </c>
      <c r="F166" s="308">
        <v>-699.89200000000005</v>
      </c>
      <c r="G166" s="309">
        <v>2830.2379999999998</v>
      </c>
    </row>
    <row r="167" spans="1:7">
      <c r="A167" s="290" t="s">
        <v>294</v>
      </c>
      <c r="B167" s="327">
        <v>11900.642</v>
      </c>
      <c r="C167" s="328">
        <v>17090.334999999999</v>
      </c>
      <c r="E167" s="290" t="s">
        <v>294</v>
      </c>
      <c r="F167" s="308">
        <v>16597.184000000001</v>
      </c>
      <c r="G167" s="309">
        <v>14852.092000000001</v>
      </c>
    </row>
    <row r="168" spans="1:7" ht="19.8">
      <c r="A168" s="290" t="s">
        <v>295</v>
      </c>
      <c r="B168" s="327">
        <v>1735.479</v>
      </c>
      <c r="C168" s="328">
        <v>382.60300000000001</v>
      </c>
      <c r="E168" s="290" t="s">
        <v>295</v>
      </c>
      <c r="F168" s="308">
        <v>-1045.2</v>
      </c>
      <c r="G168" s="309">
        <v>-1623.327</v>
      </c>
    </row>
    <row r="169" spans="1:7" ht="13.8" thickBot="1">
      <c r="A169" s="364" t="s">
        <v>296</v>
      </c>
      <c r="B169" s="353">
        <v>17090.334999999999</v>
      </c>
      <c r="C169" s="354">
        <v>16597.184000000001</v>
      </c>
      <c r="E169" s="364" t="s">
        <v>296</v>
      </c>
      <c r="F169" s="314">
        <v>14852.092000000001</v>
      </c>
      <c r="G169" s="315">
        <v>16059.003000000001</v>
      </c>
    </row>
    <row r="170" spans="1:7" ht="13.8" thickTop="1"/>
  </sheetData>
  <mergeCells count="8">
    <mergeCell ref="B2:B3"/>
    <mergeCell ref="C2:C3"/>
    <mergeCell ref="F2:F3"/>
    <mergeCell ref="G2:G3"/>
    <mergeCell ref="B118:B119"/>
    <mergeCell ref="C118:C119"/>
    <mergeCell ref="F118:F119"/>
    <mergeCell ref="G118:G119"/>
  </mergeCells>
  <conditionalFormatting sqref="B5:C40 F5:G40 B48:C111 F48:G98 F100:G100 F102:G109 F111:G111 B121:C130 B159:C169 B135:C157">
    <cfRule type="cellIs" dxfId="1" priority="3" operator="equal">
      <formula>0</formula>
    </cfRule>
  </conditionalFormatting>
  <conditionalFormatting sqref="F121:G16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f44690-06d1-49fb-852d-53eb500a6f07">
      <Terms xmlns="http://schemas.microsoft.com/office/infopath/2007/PartnerControls"/>
    </lcf76f155ced4ddcb4097134ff3c332f>
    <TaxCatchAll xmlns="7c7e0179-495a-4ef3-8969-463b3802bcab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898D8306A1034782492F3567A273F2" ma:contentTypeVersion="12" ma:contentTypeDescription="Create a new document." ma:contentTypeScope="" ma:versionID="4c5b699968f7936cc9e2b89b7e5f9cbe">
  <xsd:schema xmlns:xsd="http://www.w3.org/2001/XMLSchema" xmlns:xs="http://www.w3.org/2001/XMLSchema" xmlns:p="http://schemas.microsoft.com/office/2006/metadata/properties" xmlns:ns2="90f44690-06d1-49fb-852d-53eb500a6f07" xmlns:ns3="7c7e0179-495a-4ef3-8969-463b3802bcab" targetNamespace="http://schemas.microsoft.com/office/2006/metadata/properties" ma:root="true" ma:fieldsID="dadd706c7ce454de55746a2a3b085249" ns2:_="" ns3:_="">
    <xsd:import namespace="90f44690-06d1-49fb-852d-53eb500a6f07"/>
    <xsd:import namespace="7c7e0179-495a-4ef3-8969-463b3802bc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44690-06d1-49fb-852d-53eb500a6f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7571d408-0d8c-48a4-adcf-444c1a3db9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7e0179-495a-4ef3-8969-463b3802bca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05484f-7026-451c-87e6-e05ed3f56675}" ma:internalName="TaxCatchAll" ma:showField="CatchAllData" ma:web="7c7e0179-495a-4ef3-8969-463b3802bc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9E450A-0AD5-4057-8FCE-28839633CB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58B8E5-2925-4E2E-9C31-35CD6F6F936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085162E-4F6A-4F9A-AA32-41B2CBEE217C}">
  <ds:schemaRefs>
    <ds:schemaRef ds:uri="http://schemas.microsoft.com/office/2006/documentManagement/types"/>
    <ds:schemaRef ds:uri="http://www.w3.org/XML/1998/namespace"/>
    <ds:schemaRef ds:uri="90f44690-06d1-49fb-852d-53eb500a6f07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7c7e0179-495a-4ef3-8969-463b3802bcab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547B2F2C-E8EE-4BB5-A717-F682100019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44690-06d1-49fb-852d-53eb500a6f07"/>
    <ds:schemaRef ds:uri="7c7e0179-495a-4ef3-8969-463b3802bc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CAPA</vt:lpstr>
      <vt:lpstr>SUMÁRIO</vt:lpstr>
      <vt:lpstr>CENARIOS</vt:lpstr>
      <vt:lpstr>MODELO</vt:lpstr>
      <vt:lpstr>VALUATION</vt:lpstr>
      <vt:lpstr>DB</vt:lpstr>
      <vt:lpstr>head</vt:lpstr>
      <vt:lpstr>model_date</vt:lpstr>
      <vt:lpstr>CAPA!Print_Area</vt:lpstr>
      <vt:lpstr>CENARIOS!Print_Area</vt:lpstr>
      <vt:lpstr>MODELO!Print_Area</vt:lpstr>
      <vt:lpstr>SUMÁRIO!Print_Area</vt:lpstr>
      <vt:lpstr>VALUATION!Print_Area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Marquetti A Resende</dc:creator>
  <cp:lastModifiedBy>Lucas Marquetti A Resende</cp:lastModifiedBy>
  <cp:lastPrinted>2024-11-13T02:15:11Z</cp:lastPrinted>
  <dcterms:created xsi:type="dcterms:W3CDTF">2018-03-28T17:44:41Z</dcterms:created>
  <dcterms:modified xsi:type="dcterms:W3CDTF">2024-11-13T02:15:42Z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0x01010023898D8306A1034782492F3567A273F2</vt:lpwstr>
  </property>
</Properties>
</file>